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inar Proposal\Penulisan Proposal\"/>
    </mc:Choice>
  </mc:AlternateContent>
  <xr:revisionPtr revIDLastSave="0" documentId="13_ncr:1_{D6D3C861-9404-43EC-9056-F5E1A535676F}" xr6:coauthVersionLast="47" xr6:coauthVersionMax="47" xr10:uidLastSave="{00000000-0000-0000-0000-000000000000}"/>
  <bookViews>
    <workbookView xWindow="-120" yWindow="-120" windowWidth="20730" windowHeight="11040" tabRatio="1000" firstSheet="112" activeTab="114" xr2:uid="{00000000-000D-0000-FFFF-FFFF00000000}"/>
  </bookViews>
  <sheets>
    <sheet name="Master Excel Konversi Skor" sheetId="230" r:id="rId1"/>
    <sheet name="konversi" sheetId="239" r:id="rId2"/>
    <sheet name="01" sheetId="76" r:id="rId3"/>
    <sheet name="02" sheetId="83" r:id="rId4"/>
    <sheet name="03" sheetId="84" r:id="rId5"/>
    <sheet name="04" sheetId="85" r:id="rId6"/>
    <sheet name="05" sheetId="86" r:id="rId7"/>
    <sheet name="06" sheetId="87" r:id="rId8"/>
    <sheet name="07" sheetId="88" r:id="rId9"/>
    <sheet name="08" sheetId="89" r:id="rId10"/>
    <sheet name="09" sheetId="90" r:id="rId11"/>
    <sheet name="10" sheetId="91" r:id="rId12"/>
    <sheet name="11" sheetId="92" r:id="rId13"/>
    <sheet name="12" sheetId="93" r:id="rId14"/>
    <sheet name="13" sheetId="94" r:id="rId15"/>
    <sheet name="14" sheetId="95" r:id="rId16"/>
    <sheet name="15" sheetId="96" r:id="rId17"/>
    <sheet name="16" sheetId="97" r:id="rId18"/>
    <sheet name="17" sheetId="98" r:id="rId19"/>
    <sheet name="18" sheetId="99" r:id="rId20"/>
    <sheet name="19" sheetId="100" r:id="rId21"/>
    <sheet name="20" sheetId="101" r:id="rId22"/>
    <sheet name="21" sheetId="103" r:id="rId23"/>
    <sheet name="22" sheetId="104" r:id="rId24"/>
    <sheet name="23" sheetId="105" r:id="rId25"/>
    <sheet name="24" sheetId="106" r:id="rId26"/>
    <sheet name="25" sheetId="107" r:id="rId27"/>
    <sheet name="26" sheetId="108" r:id="rId28"/>
    <sheet name="27" sheetId="109" r:id="rId29"/>
    <sheet name="28" sheetId="110" r:id="rId30"/>
    <sheet name="29" sheetId="111" r:id="rId31"/>
    <sheet name="30" sheetId="112" r:id="rId32"/>
    <sheet name="31" sheetId="113" r:id="rId33"/>
    <sheet name="32" sheetId="114" r:id="rId34"/>
    <sheet name="33" sheetId="115" r:id="rId35"/>
    <sheet name="34" sheetId="116" r:id="rId36"/>
    <sheet name="35" sheetId="117" r:id="rId37"/>
    <sheet name="36" sheetId="118" r:id="rId38"/>
    <sheet name="37" sheetId="119" r:id="rId39"/>
    <sheet name="38" sheetId="120" r:id="rId40"/>
    <sheet name="39" sheetId="121" r:id="rId41"/>
    <sheet name="40" sheetId="122" r:id="rId42"/>
    <sheet name="41" sheetId="125" r:id="rId43"/>
    <sheet name="42" sheetId="126" r:id="rId44"/>
    <sheet name="43" sheetId="127" r:id="rId45"/>
    <sheet name="44" sheetId="128" r:id="rId46"/>
    <sheet name="45" sheetId="129" r:id="rId47"/>
    <sheet name="46" sheetId="130" r:id="rId48"/>
    <sheet name="47" sheetId="131" r:id="rId49"/>
    <sheet name="48" sheetId="132" r:id="rId50"/>
    <sheet name="49" sheetId="133" r:id="rId51"/>
    <sheet name="50" sheetId="134" r:id="rId52"/>
    <sheet name="51" sheetId="136" r:id="rId53"/>
    <sheet name="52" sheetId="137" r:id="rId54"/>
    <sheet name="53" sheetId="138" r:id="rId55"/>
    <sheet name="54" sheetId="139" r:id="rId56"/>
    <sheet name="55" sheetId="140" r:id="rId57"/>
    <sheet name="56" sheetId="141" r:id="rId58"/>
    <sheet name="57" sheetId="142" r:id="rId59"/>
    <sheet name="58" sheetId="143" r:id="rId60"/>
    <sheet name="59" sheetId="144" r:id="rId61"/>
    <sheet name="60" sheetId="145" r:id="rId62"/>
    <sheet name="61" sheetId="146" r:id="rId63"/>
    <sheet name="62" sheetId="147" r:id="rId64"/>
    <sheet name="63" sheetId="148" r:id="rId65"/>
    <sheet name="64" sheetId="149" r:id="rId66"/>
    <sheet name="65" sheetId="150" r:id="rId67"/>
    <sheet name="66" sheetId="151" r:id="rId68"/>
    <sheet name="67" sheetId="152" r:id="rId69"/>
    <sheet name="68" sheetId="153" r:id="rId70"/>
    <sheet name="69" sheetId="154" r:id="rId71"/>
    <sheet name="70" sheetId="155" r:id="rId72"/>
    <sheet name="71" sheetId="156" r:id="rId73"/>
    <sheet name="72" sheetId="157" r:id="rId74"/>
    <sheet name="73" sheetId="158" r:id="rId75"/>
    <sheet name="74" sheetId="159" r:id="rId76"/>
    <sheet name="75" sheetId="160" r:id="rId77"/>
    <sheet name="76" sheetId="161" r:id="rId78"/>
    <sheet name="77" sheetId="162" r:id="rId79"/>
    <sheet name="78" sheetId="163" r:id="rId80"/>
    <sheet name="79" sheetId="164" r:id="rId81"/>
    <sheet name="80" sheetId="165" r:id="rId82"/>
    <sheet name="81" sheetId="166" r:id="rId83"/>
    <sheet name="82" sheetId="167" r:id="rId84"/>
    <sheet name="83" sheetId="168" r:id="rId85"/>
    <sheet name="84" sheetId="169" r:id="rId86"/>
    <sheet name="85" sheetId="170" r:id="rId87"/>
    <sheet name="86" sheetId="171" r:id="rId88"/>
    <sheet name="87" sheetId="172" r:id="rId89"/>
    <sheet name="88" sheetId="173" r:id="rId90"/>
    <sheet name="89" sheetId="174" r:id="rId91"/>
    <sheet name="90" sheetId="175" r:id="rId92"/>
    <sheet name="91" sheetId="176" r:id="rId93"/>
    <sheet name="92" sheetId="177" r:id="rId94"/>
    <sheet name="93" sheetId="178" r:id="rId95"/>
    <sheet name="94" sheetId="179" r:id="rId96"/>
    <sheet name="95" sheetId="180" r:id="rId97"/>
    <sheet name="96" sheetId="181" r:id="rId98"/>
    <sheet name="97" sheetId="182" r:id="rId99"/>
    <sheet name="98" sheetId="183" r:id="rId100"/>
    <sheet name="99" sheetId="184" r:id="rId101"/>
    <sheet name="100" sheetId="185" r:id="rId102"/>
    <sheet name="101" sheetId="186" r:id="rId103"/>
    <sheet name="102" sheetId="187" r:id="rId104"/>
    <sheet name="103" sheetId="188" r:id="rId105"/>
    <sheet name="104" sheetId="189" r:id="rId106"/>
    <sheet name="105" sheetId="190" r:id="rId107"/>
    <sheet name="106" sheetId="191" r:id="rId108"/>
    <sheet name="107" sheetId="192" r:id="rId109"/>
    <sheet name="108" sheetId="193" r:id="rId110"/>
    <sheet name="109" sheetId="194" r:id="rId111"/>
    <sheet name="110" sheetId="195" r:id="rId112"/>
    <sheet name="111" sheetId="196" r:id="rId113"/>
    <sheet name="112" sheetId="197" r:id="rId114"/>
    <sheet name="Overall Preview" sheetId="240" r:id="rId115"/>
    <sheet name="Prioritas Temuan" sheetId="241" r:id="rId116"/>
    <sheet name="Per Divisi" sheetId="242" r:id="rId117"/>
    <sheet name="Sales &amp; MBusdev" sheetId="252" r:id="rId118"/>
    <sheet name="PPCU PPHU" sheetId="250" r:id="rId119"/>
    <sheet name="Lab" sheetId="249" r:id="rId120"/>
    <sheet name="Agri" sheetId="247" r:id="rId121"/>
    <sheet name="HRGA" sheetId="245" r:id="rId122"/>
    <sheet name="Sampling" sheetId="244" r:id="rId123"/>
    <sheet name="Finance" sheetId="243" r:id="rId124"/>
    <sheet name="Enviro" sheetId="246" r:id="rId125"/>
    <sheet name="Kalibrasi" sheetId="248" r:id="rId126"/>
    <sheet name="QAHSE" sheetId="251" r:id="rId127"/>
    <sheet name="Final Chart" sheetId="253" r:id="rId128"/>
    <sheet name="Sheet1" sheetId="255" r:id="rId129"/>
    <sheet name="Crosscheck" sheetId="254" r:id="rId130"/>
  </sheets>
  <externalReferences>
    <externalReference r:id="rId131"/>
  </externalReferences>
  <definedNames>
    <definedName name="_xlnm._FilterDatabase" localSheetId="114" hidden="1">'Overall Preview'!$A$1:$J$118</definedName>
    <definedName name="_xlnm.Print_Area" localSheetId="2">'01'!$A$1:$V$41</definedName>
    <definedName name="_xlnm.Print_Area" localSheetId="3">'02'!$A$1:$V$41</definedName>
    <definedName name="_xlnm.Print_Area" localSheetId="4">'03'!$A$1:$V$41</definedName>
    <definedName name="_xlnm.Print_Area" localSheetId="5">'04'!$A$1:$V$41</definedName>
    <definedName name="_xlnm.Print_Area" localSheetId="6">'05'!$A$1:$V$41</definedName>
    <definedName name="_xlnm.Print_Area" localSheetId="7">'06'!$A$1:$V$41</definedName>
    <definedName name="_xlnm.Print_Area" localSheetId="8">'07'!$A$1:$V$41</definedName>
    <definedName name="_xlnm.Print_Area" localSheetId="9">'08'!$A$1:$V$41</definedName>
    <definedName name="_xlnm.Print_Area" localSheetId="10">'09'!$A$1:$V$41</definedName>
    <definedName name="_xlnm.Print_Area" localSheetId="11">'10'!$A$1:$V$41</definedName>
    <definedName name="_xlnm.Print_Area" localSheetId="101">'100'!$A$1:$V$41</definedName>
    <definedName name="_xlnm.Print_Area" localSheetId="102">'101'!$A$1:$V$41</definedName>
    <definedName name="_xlnm.Print_Area" localSheetId="103">'102'!$A$1:$V$41</definedName>
    <definedName name="_xlnm.Print_Area" localSheetId="104">'103'!$A$1:$V$41</definedName>
    <definedName name="_xlnm.Print_Area" localSheetId="105">'104'!$A$1:$V$41</definedName>
    <definedName name="_xlnm.Print_Area" localSheetId="106">'105'!$A$1:$V$41</definedName>
    <definedName name="_xlnm.Print_Area" localSheetId="107">'106'!$A$1:$V$41</definedName>
    <definedName name="_xlnm.Print_Area" localSheetId="108">'107'!$A$1:$V$41</definedName>
    <definedName name="_xlnm.Print_Area" localSheetId="109">'108'!$A$1:$V$41</definedName>
    <definedName name="_xlnm.Print_Area" localSheetId="110">'109'!$A$1:$V$41</definedName>
    <definedName name="_xlnm.Print_Area" localSheetId="12">'11'!$A$1:$V$41</definedName>
    <definedName name="_xlnm.Print_Area" localSheetId="111">'110'!$A$1:$V$41</definedName>
    <definedName name="_xlnm.Print_Area" localSheetId="112">'111'!$A$1:$V$41</definedName>
    <definedName name="_xlnm.Print_Area" localSheetId="113">'112'!$A$1:$V$41</definedName>
    <definedName name="_xlnm.Print_Area" localSheetId="13">'12'!$A$1:$V$41</definedName>
    <definedName name="_xlnm.Print_Area" localSheetId="14">'13'!$A$1:$V$41</definedName>
    <definedName name="_xlnm.Print_Area" localSheetId="15">'14'!$A$1:$V$41</definedName>
    <definedName name="_xlnm.Print_Area" localSheetId="16">'15'!$A$1:$V$41</definedName>
    <definedName name="_xlnm.Print_Area" localSheetId="17">'16'!$A$1:$V$41</definedName>
    <definedName name="_xlnm.Print_Area" localSheetId="18">'17'!$A$1:$V$41</definedName>
    <definedName name="_xlnm.Print_Area" localSheetId="19">'18'!$A$1:$V$41</definedName>
    <definedName name="_xlnm.Print_Area" localSheetId="20">'19'!$A$1:$V$41</definedName>
    <definedName name="_xlnm.Print_Area" localSheetId="21">'20'!$A$1:$V$41</definedName>
    <definedName name="_xlnm.Print_Area" localSheetId="22">'21'!$A$1:$V$41</definedName>
    <definedName name="_xlnm.Print_Area" localSheetId="23">'22'!$A$1:$V$41</definedName>
    <definedName name="_xlnm.Print_Area" localSheetId="24">'23'!$A$1:$V$41</definedName>
    <definedName name="_xlnm.Print_Area" localSheetId="25">'24'!$A$1:$V$41</definedName>
    <definedName name="_xlnm.Print_Area" localSheetId="26">'25'!$A$1:$V$41</definedName>
    <definedName name="_xlnm.Print_Area" localSheetId="27">'26'!$A$1:$V$41</definedName>
    <definedName name="_xlnm.Print_Area" localSheetId="28">'27'!$A$1:$V$41</definedName>
    <definedName name="_xlnm.Print_Area" localSheetId="29">'28'!$A$1:$V$41</definedName>
    <definedName name="_xlnm.Print_Area" localSheetId="30">'29'!$A$1:$V$41</definedName>
    <definedName name="_xlnm.Print_Area" localSheetId="31">'30'!$A$1:$V$41</definedName>
    <definedName name="_xlnm.Print_Area" localSheetId="32">'31'!$A$1:$V$41</definedName>
    <definedName name="_xlnm.Print_Area" localSheetId="33">'32'!$A$1:$V$41</definedName>
    <definedName name="_xlnm.Print_Area" localSheetId="34">'33'!$A$1:$V$41</definedName>
    <definedName name="_xlnm.Print_Area" localSheetId="35">'34'!$A$1:$V$41</definedName>
    <definedName name="_xlnm.Print_Area" localSheetId="36">'35'!$A$1:$V$41</definedName>
    <definedName name="_xlnm.Print_Area" localSheetId="37">'36'!$A$1:$V$41</definedName>
    <definedName name="_xlnm.Print_Area" localSheetId="38">'37'!$A$1:$V$41</definedName>
    <definedName name="_xlnm.Print_Area" localSheetId="39">'38'!$A$1:$V$41</definedName>
    <definedName name="_xlnm.Print_Area" localSheetId="40">'39'!$A$1:$V$41</definedName>
    <definedName name="_xlnm.Print_Area" localSheetId="41">'40'!$A$1:$V$41</definedName>
    <definedName name="_xlnm.Print_Area" localSheetId="42">'41'!$A$1:$V$41</definedName>
    <definedName name="_xlnm.Print_Area" localSheetId="43">'42'!$A$1:$V$41</definedName>
    <definedName name="_xlnm.Print_Area" localSheetId="44">'43'!$A$1:$V$41</definedName>
    <definedName name="_xlnm.Print_Area" localSheetId="45">'44'!$A$1:$V$41</definedName>
    <definedName name="_xlnm.Print_Area" localSheetId="46">'45'!$A$1:$V$41</definedName>
    <definedName name="_xlnm.Print_Area" localSheetId="47">'46'!$A$1:$V$41</definedName>
    <definedName name="_xlnm.Print_Area" localSheetId="48">'47'!$A$1:$V$41</definedName>
    <definedName name="_xlnm.Print_Area" localSheetId="49">'48'!$A$1:$V$41</definedName>
    <definedName name="_xlnm.Print_Area" localSheetId="50">'49'!$A$1:$V$41</definedName>
    <definedName name="_xlnm.Print_Area" localSheetId="51">'50'!$A$1:$V$41</definedName>
    <definedName name="_xlnm.Print_Area" localSheetId="52">'51'!$A$1:$V$41</definedName>
    <definedName name="_xlnm.Print_Area" localSheetId="53">'52'!$A$1:$V$41</definedName>
    <definedName name="_xlnm.Print_Area" localSheetId="54">'53'!$A$1:$V$41</definedName>
    <definedName name="_xlnm.Print_Area" localSheetId="55">'54'!$A$1:$V$41</definedName>
    <definedName name="_xlnm.Print_Area" localSheetId="56">'55'!$A$1:$V$41</definedName>
    <definedName name="_xlnm.Print_Area" localSheetId="57">'56'!$A$1:$V$41</definedName>
    <definedName name="_xlnm.Print_Area" localSheetId="58">'57'!$A$1:$V$41</definedName>
    <definedName name="_xlnm.Print_Area" localSheetId="59">'58'!$A$1:$V$41</definedName>
    <definedName name="_xlnm.Print_Area" localSheetId="60">'59'!$A$1:$V$41</definedName>
    <definedName name="_xlnm.Print_Area" localSheetId="61">'60'!$A$1:$V$41</definedName>
    <definedName name="_xlnm.Print_Area" localSheetId="62">'61'!$A$1:$V$41</definedName>
    <definedName name="_xlnm.Print_Area" localSheetId="63">'62'!$A$1:$V$41</definedName>
    <definedName name="_xlnm.Print_Area" localSheetId="64">'63'!$A$1:$V$41</definedName>
    <definedName name="_xlnm.Print_Area" localSheetId="65">'64'!$A$1:$V$41</definedName>
    <definedName name="_xlnm.Print_Area" localSheetId="66">'65'!$A$1:$V$41</definedName>
    <definedName name="_xlnm.Print_Area" localSheetId="67">'66'!$A$1:$V$41</definedName>
    <definedName name="_xlnm.Print_Area" localSheetId="68">'67'!$A$1:$V$41</definedName>
    <definedName name="_xlnm.Print_Area" localSheetId="69">'68'!$A$1:$V$41</definedName>
    <definedName name="_xlnm.Print_Area" localSheetId="70">'69'!$A$1:$V$41</definedName>
    <definedName name="_xlnm.Print_Area" localSheetId="71">'70'!$A$1:$V$41</definedName>
    <definedName name="_xlnm.Print_Area" localSheetId="72">'71'!$A$1:$V$41</definedName>
    <definedName name="_xlnm.Print_Area" localSheetId="73">'72'!$A$1:$V$41</definedName>
    <definedName name="_xlnm.Print_Area" localSheetId="74">'73'!$A$1:$V$41</definedName>
    <definedName name="_xlnm.Print_Area" localSheetId="75">'74'!$A$1:$V$41</definedName>
    <definedName name="_xlnm.Print_Area" localSheetId="76">'75'!$A$1:$V$41</definedName>
    <definedName name="_xlnm.Print_Area" localSheetId="77">'76'!$A$1:$V$41</definedName>
    <definedName name="_xlnm.Print_Area" localSheetId="78">'77'!$A$1:$V$41</definedName>
    <definedName name="_xlnm.Print_Area" localSheetId="79">'78'!$A$1:$V$41</definedName>
    <definedName name="_xlnm.Print_Area" localSheetId="80">'79'!$A$1:$V$41</definedName>
    <definedName name="_xlnm.Print_Area" localSheetId="81">'80'!$A$1:$V$41</definedName>
    <definedName name="_xlnm.Print_Area" localSheetId="82">'81'!$A$1:$V$41</definedName>
    <definedName name="_xlnm.Print_Area" localSheetId="83">'82'!$A$1:$V$41</definedName>
    <definedName name="_xlnm.Print_Area" localSheetId="84">'83'!$A$1:$V$41</definedName>
    <definedName name="_xlnm.Print_Area" localSheetId="85">'84'!$A$1:$V$41</definedName>
    <definedName name="_xlnm.Print_Area" localSheetId="86">'85'!$A$1:$V$41</definedName>
    <definedName name="_xlnm.Print_Area" localSheetId="87">'86'!$A$1:$V$41</definedName>
    <definedName name="_xlnm.Print_Area" localSheetId="88">'87'!$A$1:$V$41</definedName>
    <definedName name="_xlnm.Print_Area" localSheetId="89">'88'!$A$1:$V$41</definedName>
    <definedName name="_xlnm.Print_Area" localSheetId="90">'89'!$A$1:$V$41</definedName>
    <definedName name="_xlnm.Print_Area" localSheetId="91">'90'!$A$1:$V$41</definedName>
    <definedName name="_xlnm.Print_Area" localSheetId="92">'91'!$A$1:$V$41</definedName>
    <definedName name="_xlnm.Print_Area" localSheetId="93">'92'!$A$1:$V$41</definedName>
    <definedName name="_xlnm.Print_Area" localSheetId="94">'93'!$A$1:$V$41</definedName>
    <definedName name="_xlnm.Print_Area" localSheetId="95">'94'!$A$1:$V$41</definedName>
    <definedName name="_xlnm.Print_Area" localSheetId="96">'95'!$A$1:$V$41</definedName>
    <definedName name="_xlnm.Print_Area" localSheetId="97">'96'!$A$1:$V$41</definedName>
    <definedName name="_xlnm.Print_Area" localSheetId="98">'97'!$A$1:$V$41</definedName>
    <definedName name="_xlnm.Print_Area" localSheetId="99">'98'!$A$1:$V$41</definedName>
    <definedName name="_xlnm.Print_Area" localSheetId="100">'99'!$A$1:$V$41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4" i="240" l="1"/>
  <c r="D118" i="240" s="1"/>
  <c r="E116" i="240"/>
  <c r="F116" i="240"/>
  <c r="G116" i="240"/>
  <c r="H116" i="240"/>
  <c r="I116" i="240"/>
  <c r="E115" i="240"/>
  <c r="F115" i="240"/>
  <c r="G115" i="240"/>
  <c r="H115" i="240"/>
  <c r="I115" i="240"/>
  <c r="D115" i="240"/>
  <c r="E117" i="240"/>
  <c r="F117" i="240"/>
  <c r="G117" i="240"/>
  <c r="H117" i="240"/>
  <c r="I117" i="240"/>
  <c r="D116" i="240"/>
  <c r="D117" i="240"/>
  <c r="J2" i="240"/>
  <c r="T2" i="197"/>
  <c r="D5" i="251" l="1"/>
  <c r="I13" i="245"/>
  <c r="E5" i="251"/>
  <c r="F5" i="251"/>
  <c r="G5" i="251"/>
  <c r="H5" i="251"/>
  <c r="I5" i="251"/>
  <c r="E6" i="248"/>
  <c r="F6" i="248"/>
  <c r="G6" i="248"/>
  <c r="H6" i="248"/>
  <c r="I6" i="248"/>
  <c r="D6" i="248"/>
  <c r="E16" i="246"/>
  <c r="F16" i="246"/>
  <c r="G16" i="246"/>
  <c r="H16" i="246"/>
  <c r="I16" i="246"/>
  <c r="D16" i="246"/>
  <c r="E11" i="243"/>
  <c r="F11" i="243"/>
  <c r="G11" i="243"/>
  <c r="H11" i="243"/>
  <c r="I11" i="243"/>
  <c r="D11" i="243"/>
  <c r="E37" i="244"/>
  <c r="F37" i="244"/>
  <c r="G37" i="244"/>
  <c r="H37" i="244"/>
  <c r="I37" i="244"/>
  <c r="D37" i="244"/>
  <c r="E13" i="245"/>
  <c r="F13" i="245"/>
  <c r="G13" i="245"/>
  <c r="H13" i="245"/>
  <c r="D13" i="245"/>
  <c r="E8" i="247"/>
  <c r="F8" i="247"/>
  <c r="G8" i="247"/>
  <c r="H8" i="247"/>
  <c r="I8" i="247"/>
  <c r="D8" i="247"/>
  <c r="E19" i="249"/>
  <c r="F19" i="249"/>
  <c r="G19" i="249"/>
  <c r="H19" i="249"/>
  <c r="I19" i="249"/>
  <c r="D19" i="249"/>
  <c r="E8" i="250"/>
  <c r="F8" i="250"/>
  <c r="G8" i="250"/>
  <c r="H8" i="250"/>
  <c r="I8" i="250"/>
  <c r="D8" i="250"/>
  <c r="E9" i="252"/>
  <c r="F9" i="252"/>
  <c r="G9" i="252"/>
  <c r="H9" i="252"/>
  <c r="I9" i="252"/>
  <c r="D9" i="252"/>
  <c r="E114" i="240"/>
  <c r="E118" i="240" s="1"/>
  <c r="F114" i="240"/>
  <c r="F118" i="240" s="1"/>
  <c r="G114" i="240"/>
  <c r="G118" i="240" s="1"/>
  <c r="H114" i="240"/>
  <c r="H118" i="240" s="1"/>
  <c r="I114" i="240"/>
  <c r="I118" i="240" s="1"/>
  <c r="J3" i="240"/>
  <c r="J4" i="240"/>
  <c r="J5" i="240"/>
  <c r="J6" i="240"/>
  <c r="J7" i="240"/>
  <c r="J8" i="240"/>
  <c r="J9" i="240"/>
  <c r="J10" i="240"/>
  <c r="J11" i="240"/>
  <c r="J12" i="240"/>
  <c r="J13" i="240"/>
  <c r="J14" i="240"/>
  <c r="J15" i="240"/>
  <c r="J16" i="240"/>
  <c r="J17" i="240"/>
  <c r="J18" i="240"/>
  <c r="J19" i="240"/>
  <c r="J20" i="240"/>
  <c r="J21" i="240"/>
  <c r="J22" i="240"/>
  <c r="J23" i="240"/>
  <c r="J24" i="240"/>
  <c r="J25" i="240"/>
  <c r="J26" i="240"/>
  <c r="J27" i="240"/>
  <c r="J28" i="240"/>
  <c r="J29" i="240"/>
  <c r="J30" i="240"/>
  <c r="J31" i="240"/>
  <c r="J32" i="240"/>
  <c r="J33" i="240"/>
  <c r="J34" i="240"/>
  <c r="J35" i="240"/>
  <c r="J36" i="240"/>
  <c r="J37" i="240"/>
  <c r="J38" i="240"/>
  <c r="J39" i="240"/>
  <c r="J40" i="240"/>
  <c r="J41" i="240"/>
  <c r="J42" i="240"/>
  <c r="J43" i="240"/>
  <c r="J44" i="240"/>
  <c r="J45" i="240"/>
  <c r="J46" i="240"/>
  <c r="J47" i="240"/>
  <c r="J48" i="240"/>
  <c r="J49" i="240"/>
  <c r="J50" i="240"/>
  <c r="J51" i="240"/>
  <c r="J52" i="240"/>
  <c r="J53" i="240"/>
  <c r="J54" i="240"/>
  <c r="J55" i="240"/>
  <c r="J56" i="240"/>
  <c r="J57" i="240"/>
  <c r="J58" i="240"/>
  <c r="J59" i="240"/>
  <c r="J60" i="240"/>
  <c r="J61" i="240"/>
  <c r="J62" i="240"/>
  <c r="J63" i="240"/>
  <c r="J64" i="240"/>
  <c r="J65" i="240"/>
  <c r="J66" i="240"/>
  <c r="J67" i="240"/>
  <c r="J68" i="240"/>
  <c r="J69" i="240"/>
  <c r="J70" i="240"/>
  <c r="J71" i="240"/>
  <c r="J72" i="240"/>
  <c r="J73" i="240"/>
  <c r="J74" i="240"/>
  <c r="J75" i="240"/>
  <c r="J76" i="240"/>
  <c r="J77" i="240"/>
  <c r="J78" i="240"/>
  <c r="J79" i="240"/>
  <c r="J80" i="240"/>
  <c r="J81" i="240"/>
  <c r="J82" i="240"/>
  <c r="J83" i="240"/>
  <c r="J84" i="240"/>
  <c r="J85" i="240"/>
  <c r="J86" i="240"/>
  <c r="J87" i="240"/>
  <c r="J88" i="240"/>
  <c r="J89" i="240"/>
  <c r="J90" i="240"/>
  <c r="J91" i="240"/>
  <c r="J92" i="240"/>
  <c r="J93" i="240"/>
  <c r="J94" i="240"/>
  <c r="J95" i="240"/>
  <c r="J96" i="240"/>
  <c r="J97" i="240"/>
  <c r="J98" i="240"/>
  <c r="J99" i="240"/>
  <c r="J100" i="240"/>
  <c r="J101" i="240"/>
  <c r="J102" i="240"/>
  <c r="J103" i="240"/>
  <c r="J104" i="240"/>
  <c r="J105" i="240"/>
  <c r="J106" i="240"/>
  <c r="J107" i="240"/>
  <c r="J108" i="240"/>
  <c r="J109" i="240"/>
  <c r="J110" i="240"/>
  <c r="J111" i="240"/>
  <c r="J112" i="240"/>
  <c r="J113" i="240"/>
  <c r="T2" i="155"/>
  <c r="T7" i="197"/>
  <c r="T6" i="197"/>
  <c r="T5" i="197"/>
  <c r="T4" i="197"/>
  <c r="T3" i="197"/>
  <c r="T7" i="196"/>
  <c r="T6" i="196"/>
  <c r="T5" i="196"/>
  <c r="T4" i="196"/>
  <c r="T3" i="196"/>
  <c r="T2" i="196"/>
  <c r="T7" i="195"/>
  <c r="T6" i="195"/>
  <c r="T5" i="195"/>
  <c r="T4" i="195"/>
  <c r="T3" i="195"/>
  <c r="T2" i="195"/>
  <c r="T7" i="194"/>
  <c r="T6" i="194"/>
  <c r="T5" i="194"/>
  <c r="T4" i="194"/>
  <c r="T3" i="194"/>
  <c r="T2" i="194"/>
  <c r="T7" i="193"/>
  <c r="T6" i="193"/>
  <c r="T5" i="193"/>
  <c r="T4" i="193"/>
  <c r="T3" i="193"/>
  <c r="T2" i="193"/>
  <c r="T7" i="192"/>
  <c r="T6" i="192"/>
  <c r="T5" i="192"/>
  <c r="T4" i="192"/>
  <c r="T3" i="192"/>
  <c r="T2" i="192"/>
  <c r="T7" i="191"/>
  <c r="T6" i="191"/>
  <c r="T5" i="191"/>
  <c r="T4" i="191"/>
  <c r="T3" i="191"/>
  <c r="T2" i="191"/>
  <c r="T7" i="190"/>
  <c r="T6" i="190"/>
  <c r="T5" i="190"/>
  <c r="T4" i="190"/>
  <c r="T3" i="190"/>
  <c r="T2" i="190"/>
  <c r="T7" i="189"/>
  <c r="T6" i="189"/>
  <c r="T5" i="189"/>
  <c r="T4" i="189"/>
  <c r="T3" i="189"/>
  <c r="T2" i="189"/>
  <c r="T7" i="188"/>
  <c r="T6" i="188"/>
  <c r="T5" i="188"/>
  <c r="T4" i="188"/>
  <c r="T3" i="188"/>
  <c r="T2" i="188"/>
  <c r="T7" i="187"/>
  <c r="T6" i="187"/>
  <c r="T5" i="187"/>
  <c r="T4" i="187"/>
  <c r="T3" i="187"/>
  <c r="T2" i="187"/>
  <c r="T7" i="186"/>
  <c r="T6" i="186"/>
  <c r="T5" i="186"/>
  <c r="T4" i="186"/>
  <c r="T3" i="186"/>
  <c r="T2" i="186"/>
  <c r="T7" i="185"/>
  <c r="T6" i="185"/>
  <c r="T5" i="185"/>
  <c r="T4" i="185"/>
  <c r="T3" i="185"/>
  <c r="T2" i="185"/>
  <c r="T7" i="184"/>
  <c r="T6" i="184"/>
  <c r="T5" i="184"/>
  <c r="T4" i="184"/>
  <c r="T3" i="184"/>
  <c r="T2" i="184"/>
  <c r="T7" i="183"/>
  <c r="T6" i="183"/>
  <c r="T5" i="183"/>
  <c r="T4" i="183"/>
  <c r="T3" i="183"/>
  <c r="T2" i="183"/>
  <c r="T7" i="182"/>
  <c r="T6" i="182"/>
  <c r="T5" i="182"/>
  <c r="T4" i="182"/>
  <c r="T3" i="182"/>
  <c r="T2" i="182"/>
  <c r="T7" i="181"/>
  <c r="T6" i="181"/>
  <c r="T5" i="181"/>
  <c r="T4" i="181"/>
  <c r="T3" i="181"/>
  <c r="T2" i="181"/>
  <c r="T7" i="180"/>
  <c r="T6" i="180"/>
  <c r="T5" i="180"/>
  <c r="T4" i="180"/>
  <c r="T3" i="180"/>
  <c r="T2" i="180"/>
  <c r="T7" i="179"/>
  <c r="T6" i="179"/>
  <c r="T5" i="179"/>
  <c r="T4" i="179"/>
  <c r="T3" i="179"/>
  <c r="T2" i="179"/>
  <c r="T7" i="178"/>
  <c r="T6" i="178"/>
  <c r="T5" i="178"/>
  <c r="T4" i="178"/>
  <c r="T3" i="178"/>
  <c r="T2" i="178"/>
  <c r="T7" i="177"/>
  <c r="T6" i="177"/>
  <c r="T5" i="177"/>
  <c r="T4" i="177"/>
  <c r="T3" i="177"/>
  <c r="T2" i="177"/>
  <c r="T7" i="176"/>
  <c r="T6" i="176"/>
  <c r="T5" i="176"/>
  <c r="T4" i="176"/>
  <c r="T3" i="176"/>
  <c r="T2" i="176"/>
  <c r="T7" i="175"/>
  <c r="T6" i="175"/>
  <c r="T5" i="175"/>
  <c r="T4" i="175"/>
  <c r="T3" i="175"/>
  <c r="T2" i="175"/>
  <c r="T7" i="174"/>
  <c r="T6" i="174"/>
  <c r="T5" i="174"/>
  <c r="T4" i="174"/>
  <c r="T3" i="174"/>
  <c r="T2" i="174"/>
  <c r="T7" i="173"/>
  <c r="T6" i="173"/>
  <c r="T5" i="173"/>
  <c r="T4" i="173"/>
  <c r="T3" i="173"/>
  <c r="T2" i="173"/>
  <c r="T7" i="172"/>
  <c r="T6" i="172"/>
  <c r="T5" i="172"/>
  <c r="T4" i="172"/>
  <c r="T3" i="172"/>
  <c r="T2" i="172"/>
  <c r="T7" i="171"/>
  <c r="T6" i="171"/>
  <c r="T5" i="171"/>
  <c r="T4" i="171"/>
  <c r="T3" i="171"/>
  <c r="T2" i="171"/>
  <c r="T7" i="170"/>
  <c r="T6" i="170"/>
  <c r="T5" i="170"/>
  <c r="T4" i="170"/>
  <c r="T3" i="170"/>
  <c r="T2" i="170"/>
  <c r="T7" i="169"/>
  <c r="T6" i="169"/>
  <c r="T5" i="169"/>
  <c r="T4" i="169"/>
  <c r="T3" i="169"/>
  <c r="T2" i="169"/>
  <c r="T7" i="168"/>
  <c r="T6" i="168"/>
  <c r="T5" i="168"/>
  <c r="T4" i="168"/>
  <c r="T3" i="168"/>
  <c r="T2" i="168"/>
  <c r="T7" i="167"/>
  <c r="T6" i="167"/>
  <c r="T5" i="167"/>
  <c r="T4" i="167"/>
  <c r="T3" i="167"/>
  <c r="T2" i="167"/>
  <c r="T7" i="166"/>
  <c r="T6" i="166"/>
  <c r="T5" i="166"/>
  <c r="T4" i="166"/>
  <c r="T3" i="166"/>
  <c r="T2" i="166"/>
  <c r="T7" i="165"/>
  <c r="T6" i="165"/>
  <c r="T5" i="165"/>
  <c r="T4" i="165"/>
  <c r="T3" i="165"/>
  <c r="T2" i="165"/>
  <c r="T7" i="164"/>
  <c r="T6" i="164"/>
  <c r="T5" i="164"/>
  <c r="T4" i="164"/>
  <c r="T3" i="164"/>
  <c r="T2" i="164"/>
  <c r="T7" i="163"/>
  <c r="T6" i="163"/>
  <c r="T5" i="163"/>
  <c r="T4" i="163"/>
  <c r="T3" i="163"/>
  <c r="T2" i="163"/>
  <c r="T7" i="162"/>
  <c r="T6" i="162"/>
  <c r="T5" i="162"/>
  <c r="T4" i="162"/>
  <c r="T3" i="162"/>
  <c r="T2" i="162"/>
  <c r="T7" i="161"/>
  <c r="T6" i="161"/>
  <c r="T5" i="161"/>
  <c r="T4" i="161"/>
  <c r="T3" i="161"/>
  <c r="T2" i="161"/>
  <c r="T7" i="160"/>
  <c r="T6" i="160"/>
  <c r="T5" i="160"/>
  <c r="T4" i="160"/>
  <c r="T3" i="160"/>
  <c r="T2" i="160"/>
  <c r="T7" i="159"/>
  <c r="T6" i="159"/>
  <c r="T5" i="159"/>
  <c r="T4" i="159"/>
  <c r="T3" i="159"/>
  <c r="T2" i="159"/>
  <c r="T7" i="158"/>
  <c r="T6" i="158"/>
  <c r="T5" i="158"/>
  <c r="T4" i="158"/>
  <c r="T3" i="158"/>
  <c r="T2" i="158"/>
  <c r="T7" i="157"/>
  <c r="T6" i="157"/>
  <c r="T5" i="157"/>
  <c r="T4" i="157"/>
  <c r="T3" i="157"/>
  <c r="T2" i="157"/>
  <c r="T7" i="156"/>
  <c r="T6" i="156"/>
  <c r="T5" i="156"/>
  <c r="T4" i="156"/>
  <c r="T3" i="156"/>
  <c r="T2" i="156"/>
  <c r="T7" i="155"/>
  <c r="T6" i="155"/>
  <c r="T5" i="155"/>
  <c r="T4" i="155"/>
  <c r="T3" i="155"/>
  <c r="T7" i="154"/>
  <c r="T6" i="154"/>
  <c r="T5" i="154"/>
  <c r="T4" i="154"/>
  <c r="T3" i="154"/>
  <c r="T2" i="154"/>
  <c r="T7" i="153"/>
  <c r="T6" i="153"/>
  <c r="T5" i="153"/>
  <c r="T4" i="153"/>
  <c r="T3" i="153"/>
  <c r="T2" i="153"/>
  <c r="T7" i="152"/>
  <c r="T6" i="152"/>
  <c r="T5" i="152"/>
  <c r="T4" i="152"/>
  <c r="T3" i="152"/>
  <c r="T2" i="152"/>
  <c r="T7" i="151"/>
  <c r="T6" i="151"/>
  <c r="T5" i="151"/>
  <c r="T4" i="151"/>
  <c r="T3" i="151"/>
  <c r="T2" i="151"/>
  <c r="T7" i="150"/>
  <c r="T6" i="150"/>
  <c r="T5" i="150"/>
  <c r="T4" i="150"/>
  <c r="T3" i="150"/>
  <c r="T2" i="150"/>
  <c r="T7" i="149"/>
  <c r="T6" i="149"/>
  <c r="T5" i="149"/>
  <c r="T4" i="149"/>
  <c r="T3" i="149"/>
  <c r="T2" i="149"/>
  <c r="T7" i="148"/>
  <c r="T6" i="148"/>
  <c r="T5" i="148"/>
  <c r="T4" i="148"/>
  <c r="T3" i="148"/>
  <c r="T2" i="148"/>
  <c r="T7" i="147"/>
  <c r="T6" i="147"/>
  <c r="T5" i="147"/>
  <c r="T4" i="147"/>
  <c r="T3" i="147"/>
  <c r="T2" i="147"/>
  <c r="T7" i="146"/>
  <c r="T6" i="146"/>
  <c r="T5" i="146"/>
  <c r="T4" i="146"/>
  <c r="T3" i="146"/>
  <c r="T2" i="146"/>
  <c r="T7" i="145"/>
  <c r="T6" i="145"/>
  <c r="T5" i="145"/>
  <c r="T4" i="145"/>
  <c r="T3" i="145"/>
  <c r="T2" i="145"/>
  <c r="T7" i="144"/>
  <c r="T6" i="144"/>
  <c r="T5" i="144"/>
  <c r="T4" i="144"/>
  <c r="T3" i="144"/>
  <c r="T2" i="144"/>
  <c r="T7" i="143"/>
  <c r="T6" i="143"/>
  <c r="T5" i="143"/>
  <c r="T4" i="143"/>
  <c r="T3" i="143"/>
  <c r="T2" i="143"/>
  <c r="T7" i="142"/>
  <c r="T6" i="142"/>
  <c r="T5" i="142"/>
  <c r="T4" i="142"/>
  <c r="T3" i="142"/>
  <c r="T2" i="142"/>
  <c r="T7" i="141"/>
  <c r="T6" i="141"/>
  <c r="T5" i="141"/>
  <c r="T4" i="141"/>
  <c r="T3" i="141"/>
  <c r="T2" i="141"/>
  <c r="T7" i="140"/>
  <c r="T6" i="140"/>
  <c r="T5" i="140"/>
  <c r="T4" i="140"/>
  <c r="T3" i="140"/>
  <c r="T2" i="140"/>
  <c r="T7" i="139"/>
  <c r="T6" i="139"/>
  <c r="T5" i="139"/>
  <c r="T4" i="139"/>
  <c r="T3" i="139"/>
  <c r="T2" i="139"/>
  <c r="T7" i="138"/>
  <c r="T6" i="138"/>
  <c r="T5" i="138"/>
  <c r="T4" i="138"/>
  <c r="T3" i="138"/>
  <c r="T2" i="138"/>
  <c r="T7" i="137"/>
  <c r="T6" i="137"/>
  <c r="T5" i="137"/>
  <c r="T4" i="137"/>
  <c r="T3" i="137"/>
  <c r="T2" i="137"/>
  <c r="T7" i="136"/>
  <c r="T6" i="136"/>
  <c r="T5" i="136"/>
  <c r="T4" i="136"/>
  <c r="T3" i="136"/>
  <c r="T2" i="136"/>
  <c r="T7" i="134"/>
  <c r="T6" i="134"/>
  <c r="T5" i="134"/>
  <c r="T4" i="134"/>
  <c r="T3" i="134"/>
  <c r="T2" i="134"/>
  <c r="T7" i="133"/>
  <c r="T6" i="133"/>
  <c r="T5" i="133"/>
  <c r="T4" i="133"/>
  <c r="T3" i="133"/>
  <c r="T2" i="133"/>
  <c r="T7" i="132"/>
  <c r="T6" i="132"/>
  <c r="T5" i="132"/>
  <c r="T4" i="132"/>
  <c r="T3" i="132"/>
  <c r="T2" i="132"/>
  <c r="T7" i="131"/>
  <c r="T6" i="131"/>
  <c r="T5" i="131"/>
  <c r="T4" i="131"/>
  <c r="T3" i="131"/>
  <c r="T2" i="131"/>
  <c r="T7" i="130"/>
  <c r="T6" i="130"/>
  <c r="T5" i="130"/>
  <c r="T4" i="130"/>
  <c r="T3" i="130"/>
  <c r="T2" i="130"/>
  <c r="T7" i="129"/>
  <c r="T6" i="129"/>
  <c r="T5" i="129"/>
  <c r="T4" i="129"/>
  <c r="T3" i="129"/>
  <c r="T2" i="129"/>
  <c r="T7" i="128"/>
  <c r="T6" i="128"/>
  <c r="T5" i="128"/>
  <c r="T4" i="128"/>
  <c r="T3" i="128"/>
  <c r="T2" i="128"/>
  <c r="T7" i="127"/>
  <c r="T6" i="127"/>
  <c r="T5" i="127"/>
  <c r="T4" i="127"/>
  <c r="T3" i="127"/>
  <c r="T2" i="127"/>
  <c r="T7" i="126"/>
  <c r="T6" i="126"/>
  <c r="T5" i="126"/>
  <c r="T4" i="126"/>
  <c r="T3" i="126"/>
  <c r="T2" i="126"/>
  <c r="T7" i="125"/>
  <c r="T6" i="125"/>
  <c r="T5" i="125"/>
  <c r="T4" i="125"/>
  <c r="T3" i="125"/>
  <c r="T2" i="125"/>
  <c r="T7" i="122"/>
  <c r="T6" i="122"/>
  <c r="T5" i="122"/>
  <c r="T4" i="122"/>
  <c r="T3" i="122"/>
  <c r="T2" i="122"/>
  <c r="T7" i="121"/>
  <c r="T6" i="121"/>
  <c r="T5" i="121"/>
  <c r="T4" i="121"/>
  <c r="T3" i="121"/>
  <c r="T2" i="121"/>
  <c r="T7" i="120"/>
  <c r="T6" i="120"/>
  <c r="T5" i="120"/>
  <c r="T4" i="120"/>
  <c r="T3" i="120"/>
  <c r="T2" i="120"/>
  <c r="T7" i="119"/>
  <c r="T6" i="119"/>
  <c r="T5" i="119"/>
  <c r="T4" i="119"/>
  <c r="T3" i="119"/>
  <c r="T2" i="119"/>
  <c r="T7" i="118"/>
  <c r="T6" i="118"/>
  <c r="T5" i="118"/>
  <c r="T4" i="118"/>
  <c r="T3" i="118"/>
  <c r="T2" i="118"/>
  <c r="T7" i="117"/>
  <c r="T6" i="117"/>
  <c r="T5" i="117"/>
  <c r="T4" i="117"/>
  <c r="T3" i="117"/>
  <c r="T2" i="117"/>
  <c r="T7" i="116"/>
  <c r="T6" i="116"/>
  <c r="T5" i="116"/>
  <c r="T4" i="116"/>
  <c r="T3" i="116"/>
  <c r="T2" i="116"/>
  <c r="T7" i="115"/>
  <c r="T6" i="115"/>
  <c r="T5" i="115"/>
  <c r="T4" i="115"/>
  <c r="T3" i="115"/>
  <c r="T2" i="115"/>
  <c r="T7" i="114"/>
  <c r="T6" i="114"/>
  <c r="T5" i="114"/>
  <c r="T4" i="114"/>
  <c r="T3" i="114"/>
  <c r="T2" i="114"/>
  <c r="T7" i="113"/>
  <c r="T6" i="113"/>
  <c r="T5" i="113"/>
  <c r="T4" i="113"/>
  <c r="T3" i="113"/>
  <c r="T2" i="113"/>
  <c r="T7" i="112"/>
  <c r="T6" i="112"/>
  <c r="T5" i="112"/>
  <c r="T4" i="112"/>
  <c r="T3" i="112"/>
  <c r="T2" i="112"/>
  <c r="T7" i="111"/>
  <c r="T6" i="111"/>
  <c r="T5" i="111"/>
  <c r="T4" i="111"/>
  <c r="T3" i="111"/>
  <c r="T2" i="111"/>
  <c r="T7" i="110"/>
  <c r="T6" i="110"/>
  <c r="T5" i="110"/>
  <c r="T4" i="110"/>
  <c r="T3" i="110"/>
  <c r="T2" i="110"/>
  <c r="T7" i="109"/>
  <c r="T6" i="109"/>
  <c r="T5" i="109"/>
  <c r="T4" i="109"/>
  <c r="T3" i="109"/>
  <c r="T2" i="109"/>
  <c r="T7" i="108"/>
  <c r="T6" i="108"/>
  <c r="T5" i="108"/>
  <c r="T4" i="108"/>
  <c r="T3" i="108"/>
  <c r="T2" i="108"/>
  <c r="T7" i="107"/>
  <c r="T6" i="107"/>
  <c r="T5" i="107"/>
  <c r="T4" i="107"/>
  <c r="T3" i="107"/>
  <c r="T2" i="107"/>
  <c r="T7" i="106"/>
  <c r="T6" i="106"/>
  <c r="T5" i="106"/>
  <c r="T4" i="106"/>
  <c r="T3" i="106"/>
  <c r="T2" i="106"/>
  <c r="T7" i="105"/>
  <c r="T6" i="105"/>
  <c r="T5" i="105"/>
  <c r="T4" i="105"/>
  <c r="T3" i="105"/>
  <c r="T2" i="105"/>
  <c r="T7" i="104"/>
  <c r="T6" i="104"/>
  <c r="T5" i="104"/>
  <c r="T4" i="104"/>
  <c r="T3" i="104"/>
  <c r="T2" i="104"/>
  <c r="T7" i="103"/>
  <c r="T6" i="103"/>
  <c r="T5" i="103"/>
  <c r="T4" i="103"/>
  <c r="T3" i="103"/>
  <c r="T2" i="103"/>
  <c r="T7" i="101"/>
  <c r="T6" i="101"/>
  <c r="T5" i="101"/>
  <c r="T4" i="101"/>
  <c r="T3" i="101"/>
  <c r="T2" i="101"/>
  <c r="T7" i="100"/>
  <c r="T6" i="100"/>
  <c r="T5" i="100"/>
  <c r="T4" i="100"/>
  <c r="T3" i="100"/>
  <c r="T2" i="100"/>
  <c r="T7" i="99"/>
  <c r="T6" i="99"/>
  <c r="T5" i="99"/>
  <c r="T4" i="99"/>
  <c r="T3" i="99"/>
  <c r="T2" i="99"/>
  <c r="T7" i="98"/>
  <c r="T6" i="98"/>
  <c r="T5" i="98"/>
  <c r="T4" i="98"/>
  <c r="T3" i="98"/>
  <c r="T2" i="98"/>
  <c r="T7" i="97"/>
  <c r="T6" i="97"/>
  <c r="T5" i="97"/>
  <c r="T4" i="97"/>
  <c r="T3" i="97"/>
  <c r="T2" i="97"/>
  <c r="T7" i="96"/>
  <c r="T6" i="96"/>
  <c r="T5" i="96"/>
  <c r="T4" i="96"/>
  <c r="T3" i="96"/>
  <c r="T2" i="96"/>
  <c r="T7" i="95"/>
  <c r="T6" i="95"/>
  <c r="T5" i="95"/>
  <c r="T4" i="95"/>
  <c r="T3" i="95"/>
  <c r="T2" i="95"/>
  <c r="T7" i="94"/>
  <c r="T6" i="94"/>
  <c r="T5" i="94"/>
  <c r="T4" i="94"/>
  <c r="T3" i="94"/>
  <c r="T2" i="94"/>
  <c r="T7" i="93"/>
  <c r="T6" i="93"/>
  <c r="T5" i="93"/>
  <c r="T4" i="93"/>
  <c r="T3" i="93"/>
  <c r="T2" i="93"/>
  <c r="T7" i="92"/>
  <c r="T6" i="92"/>
  <c r="T5" i="92"/>
  <c r="T4" i="92"/>
  <c r="T3" i="92"/>
  <c r="T2" i="92"/>
  <c r="T7" i="91"/>
  <c r="T6" i="91"/>
  <c r="T5" i="91"/>
  <c r="T4" i="91"/>
  <c r="T3" i="91"/>
  <c r="T2" i="91"/>
  <c r="T7" i="90"/>
  <c r="T6" i="90"/>
  <c r="T5" i="90"/>
  <c r="T4" i="90"/>
  <c r="T3" i="90"/>
  <c r="T2" i="90"/>
  <c r="T7" i="89"/>
  <c r="T6" i="89"/>
  <c r="T5" i="89"/>
  <c r="T4" i="89"/>
  <c r="T3" i="89"/>
  <c r="T2" i="89"/>
  <c r="T7" i="88"/>
  <c r="T6" i="88"/>
  <c r="T5" i="88"/>
  <c r="T4" i="88"/>
  <c r="T3" i="88"/>
  <c r="T2" i="88"/>
  <c r="T7" i="87"/>
  <c r="T6" i="87"/>
  <c r="T5" i="87"/>
  <c r="T4" i="87"/>
  <c r="T3" i="87"/>
  <c r="T2" i="87"/>
  <c r="T7" i="86"/>
  <c r="T6" i="86"/>
  <c r="T5" i="86"/>
  <c r="T4" i="86"/>
  <c r="T3" i="86"/>
  <c r="T2" i="86"/>
  <c r="T7" i="85"/>
  <c r="T6" i="85"/>
  <c r="T5" i="85"/>
  <c r="T4" i="85"/>
  <c r="T3" i="85"/>
  <c r="T2" i="85"/>
  <c r="T7" i="84"/>
  <c r="T6" i="84"/>
  <c r="T5" i="84"/>
  <c r="T4" i="84"/>
  <c r="T3" i="84"/>
  <c r="T2" i="84"/>
  <c r="T7" i="83"/>
  <c r="T6" i="83"/>
  <c r="T5" i="83"/>
  <c r="T4" i="83"/>
  <c r="T3" i="83"/>
  <c r="T2" i="83"/>
  <c r="T7" i="76"/>
  <c r="T6" i="76"/>
  <c r="T5" i="76"/>
  <c r="T4" i="76"/>
  <c r="T3" i="76"/>
  <c r="T2" i="76"/>
  <c r="J114" i="240" l="1"/>
</calcChain>
</file>

<file path=xl/sharedStrings.xml><?xml version="1.0" encoding="utf-8"?>
<sst xmlns="http://schemas.openxmlformats.org/spreadsheetml/2006/main" count="14109" uniqueCount="716">
  <si>
    <t>Skor</t>
  </si>
  <si>
    <t>Ketaksaan Peran</t>
  </si>
  <si>
    <t>Konflik Peran</t>
  </si>
  <si>
    <t>Beban Berlebih Kuantitatif</t>
  </si>
  <si>
    <t>Beban Berlebih Kualitatif</t>
  </si>
  <si>
    <t>Tanggung jawab terhadap orang lain</t>
  </si>
  <si>
    <t>Kuesioner ini dirancang untuk mengetahui sejauh mana berbagai kondisi pekerjaan menjadi sumber stress seseorang.</t>
  </si>
  <si>
    <t>Responden diminta memilih seberapa sering kondisi tersebut menimbulkan stress.</t>
  </si>
  <si>
    <t>Bila kondisi yang diuraikan TIDAK PERNAH menimbulkan stress</t>
  </si>
  <si>
    <t>Bila kondisi yang diuraikan JARANG SEKALI menimbulkan stress</t>
  </si>
  <si>
    <t>Bila kondisi yang diuraikan JARANG menimbulkan stress</t>
  </si>
  <si>
    <t>Bila kondisi yang diuraikan KADANG-KADANG menimbulkan stress</t>
  </si>
  <si>
    <t>Bila kondisi yang diuraikan SERING menimbulkan stress</t>
  </si>
  <si>
    <t>Bila kondisi yang diuraikan SERING SEKALI menimbulkan stress</t>
  </si>
  <si>
    <t>Bila kondisi yang diuraikan SELALU menimbulkan stress</t>
  </si>
  <si>
    <t>Tujuan tugas-tugas dan pekerjaan saya tidak jelas</t>
  </si>
  <si>
    <t>Saya mengerjakan tugas-tugas atau proyek yang tidak perlu</t>
  </si>
  <si>
    <t>Saya harus membawa pulang pekerjaan ke rumah setiap sore hari atau akhir pekan agar dapat mengejar waktu</t>
  </si>
  <si>
    <t>Tuntutan-tuntutan mengenai mutu pekerjaan terhadap saya keterlaluan</t>
  </si>
  <si>
    <t>Saya bertanggung jawab untuk pengembangan karyawan lain.</t>
  </si>
  <si>
    <t>Saya tidak jelas kepada siapa harus melapor dan / atau siapa yang melapor kepada saya.</t>
  </si>
  <si>
    <t>Saya terjepit di tengah-tengah antara atasan dan bawahan saya.</t>
  </si>
  <si>
    <t>Saya menghabiskan waktu terlalu banyak untuk pertemuan-pertemuan yang tidak penting yang menyita waktu saya.</t>
  </si>
  <si>
    <t>Tugas-tugas yang diberikan kepada saya terlalu sulit dan/atau terlalu kompleks.</t>
  </si>
  <si>
    <t>Kalau saya ingin naik pangkat, saya harus mencari pekerjaan pada satuan kerja lain.</t>
  </si>
  <si>
    <t>Saya bertanggung jawab untuk membimbing dan/atau membantu bawahan saya menyelesaikan problemnya.</t>
  </si>
  <si>
    <t>Saya tidak mempunyai wewenang untuk melaksanakan tanggung jawab pekerjaan saya.</t>
  </si>
  <si>
    <t>Saya tidak mempunyai kesempatan yang memadai untuk maju dalam organisasi ini</t>
  </si>
  <si>
    <t>Jalur perintah yang formal tidak dipatuhi.</t>
  </si>
  <si>
    <t>Saya bertanggung jawab atas semua proyek pekerjaan dalam waktu bersamaan yang hampir tidak dapat dikendalikan.</t>
  </si>
  <si>
    <t>Tugas-tugas tampaknya makin hari menjadi makin kompleks.</t>
  </si>
  <si>
    <t>Saya merugikan kemajuan karir saya dengan menetap pada organisasi ini.</t>
  </si>
  <si>
    <t>Saya bertindak atau membuat keputusan-keputusan yang mempengaruhi keselamatan dan kesejahteraan orang lain.</t>
  </si>
  <si>
    <t>Saya tidak mengerti sepenuhnya apa yang diharapkan dari saya.</t>
  </si>
  <si>
    <t>Saya melakukan pekerjaan yang diterima oleh satu orang tapi tidak diterima oleh orang lain.</t>
  </si>
  <si>
    <t>Saya benar-benar mempunyai pekerjaan yang lebih banyak daripada yang biasanya dapat dikerjakan dalam sehari.</t>
  </si>
  <si>
    <t>Organisasi mengharapkan saya melebihi keterampilan dan/atau kemampuan yang saya miliki.</t>
  </si>
  <si>
    <t>Saya hanya mempunyai sedikit kesempatan untuk berkembang dan belajar pengetahuan dan keterampilan baru dalam pekerjaan saya.</t>
  </si>
  <si>
    <t>Tanggung jawab saya dlaam organisasi ini lebih mengenai orang daripada barang.</t>
  </si>
  <si>
    <t>Saya tidak mengerti bagian yang diperankan pekeraan saya dalam memenuhi tujuan organisasi keseluruhan.</t>
  </si>
  <si>
    <t>Saya menerima permintaan-permintaan yang saling bertentangan dari satu orang atau lebih.</t>
  </si>
  <si>
    <t>Saya merasa bahwa saya betul-betul tidak punya waktu untuk istirahat berkala.</t>
  </si>
  <si>
    <t>Saya kurang terlatih dan/atau kurang pengalaman untuk melaksanakan tugas-tugas saya secara memadai.</t>
  </si>
  <si>
    <t>Saya merasa karir saya tidak berkembang.</t>
  </si>
  <si>
    <t>Saya bertanggung jawab atas hari depan (karir) orang lain</t>
  </si>
  <si>
    <t>Skor TP</t>
  </si>
  <si>
    <t>1 + 7 + 13 + 19 + 25</t>
  </si>
  <si>
    <t>Skor KP</t>
  </si>
  <si>
    <t>2 + 8 + 14 + 20 + 26</t>
  </si>
  <si>
    <t>Skor BBKuan</t>
  </si>
  <si>
    <t>3 + 9 + 15 + 21 + 27</t>
  </si>
  <si>
    <t>Skor BBKual</t>
  </si>
  <si>
    <t>4 + 10 + 16 + 22 + 28</t>
  </si>
  <si>
    <t>Skor PK</t>
  </si>
  <si>
    <t>Pengembangan Karir</t>
  </si>
  <si>
    <t>5 + 11 + 17 + 23 + 29</t>
  </si>
  <si>
    <t>Skor TJO</t>
  </si>
  <si>
    <t>6 + 12 + 18 + 24 + 30</t>
  </si>
  <si>
    <t xml:space="preserve">Skor ≤ 9 = derajat stress RINGAN, </t>
  </si>
  <si>
    <t xml:space="preserve">Skor 10-24 = derajat stress SEDANG, </t>
  </si>
  <si>
    <t>Skor &gt;24 = derajat stress BERAT</t>
  </si>
  <si>
    <t>Ringan</t>
  </si>
  <si>
    <t>SEDANG</t>
  </si>
  <si>
    <t>RINGAN</t>
  </si>
  <si>
    <t>BERAT</t>
  </si>
  <si>
    <t>Supervisor</t>
  </si>
  <si>
    <t>Spv</t>
  </si>
  <si>
    <t xml:space="preserve">Admin </t>
  </si>
  <si>
    <t>Username</t>
  </si>
  <si>
    <t>NAMA</t>
  </si>
  <si>
    <t>JABATAN</t>
  </si>
  <si>
    <t>DEPARTEMEN</t>
  </si>
  <si>
    <t>1) Tugas-tugas dan pekerjaan saya tidak jelas</t>
  </si>
  <si>
    <t>2) Saya mengerjakan tugas-tugas atau proyek yang tidak perlu</t>
  </si>
  <si>
    <t>3) Saya harus membawa pulang pekerjaan ke rumah setiap sore hari atau akhir pekan agar dapat mengejar waktu</t>
  </si>
  <si>
    <t>4) Tuntutan-tuntutan mengenai mutu pekerjaan terhadap saya keterlaluan</t>
  </si>
  <si>
    <t>5) Saya tidak mempunyai kesempatan yang memadai untuk maju dalam organisasi ini</t>
  </si>
  <si>
    <t>6) Saya bertanggung jawab untuk pengembangan karyawan lain.</t>
  </si>
  <si>
    <t>7) Saya tidak jelas kepada siapa harus melapor dan / atau siapa yang melapor kepada saya.</t>
  </si>
  <si>
    <t>8) Saya terjepit di tengah-tengah antara atasan dan bawahan saya.</t>
  </si>
  <si>
    <t>9) Saya menghabiskan waktu terlalu banyak untuk pertemuan-pertemuan yang tidak penting yang menyita waktu saya.</t>
  </si>
  <si>
    <t>10) Tugas-tugas yang diberikan kepada saya terlalu sulit dan/atau terlalu kompleks.</t>
  </si>
  <si>
    <t>11) Kalau saya ingin naik pangkat, saya harus mencari pekerjaan pada satuan kerja lain.</t>
  </si>
  <si>
    <t>12) Saya bertanggung jawab untuk membimbing dan/atau membantu bawahan saya menyelesaikan problemnya.</t>
  </si>
  <si>
    <t>13) Saya tidak mempunyai wewenang untuk melaksanakan tanggung jawab pekerjaan saya.</t>
  </si>
  <si>
    <t>14) Jalur perintah yang formal tidak dipatuhi.</t>
  </si>
  <si>
    <t>15) Saya bertanggung jawab atas semua proyek pekerjaan dalam waktu bersamaan yang hampir tidak dapat dikendalikan.</t>
  </si>
  <si>
    <t>16) Tugas-tugas tampaknya makin hari menjadi makin kompleks.</t>
  </si>
  <si>
    <t>17) Saya merugikan kemajuan karir saya dengan menetap pada organisasi ini.</t>
  </si>
  <si>
    <t>18) Saya bertindak atau membuat keputusan-keputusan yang mempengaruhi keselamatan dan kesejahteraan orang lain.</t>
  </si>
  <si>
    <t>19) Saya tidak mengerti sepenuhnya apa yang diharapkan dari saya.</t>
  </si>
  <si>
    <t>20) Saya melakukan pekerjaan yang diterima oleh satu orang tapi tidak diterima oleh orang lain.</t>
  </si>
  <si>
    <t>21) Saya benar-benar mempunyai pekerjaan yang lebih banyak daripada yang biasanya dapat dikerjakan dalam sehari.</t>
  </si>
  <si>
    <t>22) Organisasi mengharapkan saya melebihi keterampilan dan/atau kemampuan yang saya miliki.</t>
  </si>
  <si>
    <t>23) Saya hanya mempunyai sedikit kesempatan untuk berkembang dan belajar pengetahuan dan keterampilan baru dalam pekerjaan saya.</t>
  </si>
  <si>
    <t>24) Tanggung jawab saya dlaam organisasi ini lebih mengenai orang daripada barang.</t>
  </si>
  <si>
    <t>25) Saya tidak mengerti bagian yang diperankan pekeraan saya dalam memenuhi tujuan organisasi keseluruhan.</t>
  </si>
  <si>
    <t>26) Saya menerima permintaan-permintaan yang saling bertentangan dari satu orang atau lebih.</t>
  </si>
  <si>
    <t>27) Saya merasa bahwa saya betul-betul tidak punya waktu untuk istirahat berkala.</t>
  </si>
  <si>
    <t>28) Saya kurang terlatih dan/atau kurang pengalaman untuk melaksanakan tugas-tugas saya secara memadai.</t>
  </si>
  <si>
    <t>29) Saya merasa karir saya tidak berkembang.</t>
  </si>
  <si>
    <t>30) Saya bertanggung jawab atas hari depan (karir) orang lain</t>
  </si>
  <si>
    <t>Tidak Pernah</t>
  </si>
  <si>
    <t>Jarang Sekali</t>
  </si>
  <si>
    <t>Kadang-Kadang</t>
  </si>
  <si>
    <t>Selalu</t>
  </si>
  <si>
    <t>Jarang</t>
  </si>
  <si>
    <t>Sering</t>
  </si>
  <si>
    <t>Sering Sekali</t>
  </si>
  <si>
    <t>Jarang Sekali;Jarang;Kadang-Kadang</t>
  </si>
  <si>
    <t>Jarang Sekali;Jarang</t>
  </si>
  <si>
    <t>Tidak Pernah;Jarang Sekali</t>
  </si>
  <si>
    <t>Sering;Sering Sekali;Selalu</t>
  </si>
  <si>
    <t>Jarang;Kadang-Kadang</t>
  </si>
  <si>
    <t>Jarang Sekali;Kadang-Kadang</t>
  </si>
  <si>
    <t>Kadang-Kadang;Sering</t>
  </si>
  <si>
    <t>Admin</t>
  </si>
  <si>
    <t>Timestamp</t>
  </si>
  <si>
    <t>2022/08/05 1:04:16 PM GMT+9</t>
  </si>
  <si>
    <t>mustaf.id.fikry@gmail.com</t>
  </si>
  <si>
    <t xml:space="preserve">Fikry Mustafid </t>
  </si>
  <si>
    <t xml:space="preserve">Staff sampling </t>
  </si>
  <si>
    <t xml:space="preserve">Sampling </t>
  </si>
  <si>
    <t>2022/08/05 1:05:15 PM GMT+9</t>
  </si>
  <si>
    <t>cynthia@aaslaboratory.com</t>
  </si>
  <si>
    <t>Cynthia</t>
  </si>
  <si>
    <t>Staff</t>
  </si>
  <si>
    <t>Keuangan</t>
  </si>
  <si>
    <t>2022/08/05 1:05:49 PM GMT+9</t>
  </si>
  <si>
    <t>qadept@aaslaboratory.com</t>
  </si>
  <si>
    <t>Dini Apriani</t>
  </si>
  <si>
    <t>Staff QA&amp;HSE</t>
  </si>
  <si>
    <t>QA&amp;HSE</t>
  </si>
  <si>
    <t>2022/08/05 1:06:14 PM GMT+9</t>
  </si>
  <si>
    <t>andri@aaslaboratory.com</t>
  </si>
  <si>
    <t>Andri Prayitno</t>
  </si>
  <si>
    <t>Supervisor Sampling</t>
  </si>
  <si>
    <t>Sampling</t>
  </si>
  <si>
    <t>2022/08/05 1:06:47 PM GMT+9</t>
  </si>
  <si>
    <t>amalia@aaslaboratory.com</t>
  </si>
  <si>
    <t>Amalia</t>
  </si>
  <si>
    <t>Sales</t>
  </si>
  <si>
    <t>Sales &amp; Marketing</t>
  </si>
  <si>
    <t>2022/08/05 1:12:13 PM GMT+9</t>
  </si>
  <si>
    <t>dnurdianasari@gmail.com</t>
  </si>
  <si>
    <t>Dewi Nurdianasari</t>
  </si>
  <si>
    <t>Senior Admin PPCU</t>
  </si>
  <si>
    <t>PPCU</t>
  </si>
  <si>
    <t>2022/08/05 1:13:02 PM GMT+9</t>
  </si>
  <si>
    <t>muhamadnaufalyuldam@gmail.com</t>
  </si>
  <si>
    <t>Muhamad Naufal Yuldam</t>
  </si>
  <si>
    <t xml:space="preserve">Teknisi Kalibrasi </t>
  </si>
  <si>
    <t xml:space="preserve">Kalibrasi </t>
  </si>
  <si>
    <t>2022/08/05 1:13:54 PM GMT+9</t>
  </si>
  <si>
    <t>arofficeraaslab@gmail.com</t>
  </si>
  <si>
    <t xml:space="preserve">Devia Resniawati </t>
  </si>
  <si>
    <t>Staff AR</t>
  </si>
  <si>
    <t>2022/08/05 1:14:26 PM GMT+9</t>
  </si>
  <si>
    <t>dana_zrs@aaslaboratory.com</t>
  </si>
  <si>
    <t>Dana</t>
  </si>
  <si>
    <t>Staff AP Finance</t>
  </si>
  <si>
    <t>Finance</t>
  </si>
  <si>
    <t>2022/08/05 1:15:18 PM GMT+9</t>
  </si>
  <si>
    <t>muhammadabyansuparno@gmail.com</t>
  </si>
  <si>
    <t>Muhammad Abyan S</t>
  </si>
  <si>
    <t>Surveyor</t>
  </si>
  <si>
    <t>2022/08/05 1:15:39 PM GMT+9</t>
  </si>
  <si>
    <t>unggulsisgu@gmail.com</t>
  </si>
  <si>
    <t>unggul tri pekerti</t>
  </si>
  <si>
    <t>analis</t>
  </si>
  <si>
    <t>environment</t>
  </si>
  <si>
    <t>2022/08/05 1:18:37 PM GMT+9</t>
  </si>
  <si>
    <t>umarbhotedani@gmail.com</t>
  </si>
  <si>
    <t>Umardani</t>
  </si>
  <si>
    <t>Staff Sampling</t>
  </si>
  <si>
    <t>2022/08/05 1:20:14 PM GMT+9</t>
  </si>
  <si>
    <t>engkussetiawandi21@gmail.com</t>
  </si>
  <si>
    <t>Engkus Setiawandi</t>
  </si>
  <si>
    <t>Driver</t>
  </si>
  <si>
    <t>HRD GA</t>
  </si>
  <si>
    <t>2022/08/05 1:22:17 PM GMT+9</t>
  </si>
  <si>
    <t>deyana.cindy@gmail.com</t>
  </si>
  <si>
    <t>Deyana Cindy Anggraeni</t>
  </si>
  <si>
    <t>Analis Laboratorium</t>
  </si>
  <si>
    <t>Laboratorium Agribio</t>
  </si>
  <si>
    <t>2022/08/05 1:22:29 PM GMT+9</t>
  </si>
  <si>
    <t>juwanda.abdan@gmail.com</t>
  </si>
  <si>
    <t>Juwanda Abdan Muchori</t>
  </si>
  <si>
    <t>Sering;Sering Sekali</t>
  </si>
  <si>
    <t>Sering Sekali;Selalu</t>
  </si>
  <si>
    <t>2022/08/05 1:23:27 PM GMT+9</t>
  </si>
  <si>
    <t>dewasky9@gmail.com</t>
  </si>
  <si>
    <t>Dewanto M.M</t>
  </si>
  <si>
    <t>Supervisor Kalibrasi</t>
  </si>
  <si>
    <t>Kalibrasi</t>
  </si>
  <si>
    <t>2022/08/05 1:25:31 PM GMT+9</t>
  </si>
  <si>
    <t>arachmana13@gmail.com</t>
  </si>
  <si>
    <t>Abdul rahman</t>
  </si>
  <si>
    <t>Field engineering</t>
  </si>
  <si>
    <t>2022/08/05 1:27:58 PM GMT+9</t>
  </si>
  <si>
    <t>susiatun92@gmail.com</t>
  </si>
  <si>
    <t>Susiatun</t>
  </si>
  <si>
    <t xml:space="preserve">Analis </t>
  </si>
  <si>
    <t>Makrobiologi</t>
  </si>
  <si>
    <t>2022/08/05 1:30:05 PM GMT+9</t>
  </si>
  <si>
    <t>akhdiatridho95@gmail.com</t>
  </si>
  <si>
    <t>Akhdiat ridho permana</t>
  </si>
  <si>
    <t xml:space="preserve">Staff </t>
  </si>
  <si>
    <t>2022/08/05 1:30:17 PM GMT+9</t>
  </si>
  <si>
    <t>muhrizkikurniawan11@gmail.com</t>
  </si>
  <si>
    <t>M rizki kurniawan</t>
  </si>
  <si>
    <t>Analis</t>
  </si>
  <si>
    <t>Enviro</t>
  </si>
  <si>
    <t>2022/08/05 1:32:11 PM GMT+9</t>
  </si>
  <si>
    <t>pindiprayoga11@gmail.com</t>
  </si>
  <si>
    <t>Pindi Prayoga</t>
  </si>
  <si>
    <t>Suveryor</t>
  </si>
  <si>
    <t>2022/08/05 1:32:18 PM GMT+9</t>
  </si>
  <si>
    <t>syuqronhabib@gmail.com</t>
  </si>
  <si>
    <t>Syuqron Habib Ramadhana Al Aziz</t>
  </si>
  <si>
    <t>2022/08/05 1:34:08 PM GMT+9</t>
  </si>
  <si>
    <t>ummatulfajri4@gmail.com</t>
  </si>
  <si>
    <t xml:space="preserve">Ummatul Fajri </t>
  </si>
  <si>
    <t>2022/08/05 1:35:32 PM GMT+9</t>
  </si>
  <si>
    <t>irvanoarseno@gmail.com</t>
  </si>
  <si>
    <t>Arseno Irvano</t>
  </si>
  <si>
    <t>Field enginering</t>
  </si>
  <si>
    <t>2022/08/05 1:41:53 PM GMT+9</t>
  </si>
  <si>
    <t>nenengh8@gmail.com</t>
  </si>
  <si>
    <t>Neneng Hasanah</t>
  </si>
  <si>
    <t>Analis laboratorium</t>
  </si>
  <si>
    <t>Agriculture</t>
  </si>
  <si>
    <t>2022/08/05 1:50:57 PM GMT+9</t>
  </si>
  <si>
    <t>marief1602@gmail.com</t>
  </si>
  <si>
    <t>Muhammad arief febrianto</t>
  </si>
  <si>
    <t>Surveyor pekanbaru</t>
  </si>
  <si>
    <t>2022/08/05 2:02:08 PM GMT+9</t>
  </si>
  <si>
    <t>alainaamalia@gmail.com</t>
  </si>
  <si>
    <t>Alaina Amalia</t>
  </si>
  <si>
    <t>Laboratorium LT 3</t>
  </si>
  <si>
    <t>2022/08/05 2:02:58 PM GMT+9</t>
  </si>
  <si>
    <t>fintax@aaslaboratory.com</t>
  </si>
  <si>
    <t xml:space="preserve">Iman Hadi Pamungkas </t>
  </si>
  <si>
    <t xml:space="preserve">Ass. Manajer Finance </t>
  </si>
  <si>
    <t xml:space="preserve">Keuangan </t>
  </si>
  <si>
    <t>2022/08/05 2:11:05 PM GMT+9</t>
  </si>
  <si>
    <t>armilahmuhammadrizky16@gmail.com</t>
  </si>
  <si>
    <t>Muhammad Rizky Armilah</t>
  </si>
  <si>
    <t xml:space="preserve">Petugas Sampling </t>
  </si>
  <si>
    <t>2022/08/05 2:14:19 PM GMT+9</t>
  </si>
  <si>
    <t>nugraenifahrunisa@gmail.com</t>
  </si>
  <si>
    <t xml:space="preserve">Nugraeni Fahrunisa </t>
  </si>
  <si>
    <t>Pphu</t>
  </si>
  <si>
    <t>2022/08/05 2:14:57 PM GMT+9</t>
  </si>
  <si>
    <t>naufalfauzan1020@gmail.com</t>
  </si>
  <si>
    <t>Naufal Fauzan</t>
  </si>
  <si>
    <t>Petugas Sampling</t>
  </si>
  <si>
    <t>2022/08/05 2:18:29 PM GMT+9</t>
  </si>
  <si>
    <t>roffiibnu2@gmail.com</t>
  </si>
  <si>
    <t>Rofi Ibnu Abi Abdillah</t>
  </si>
  <si>
    <t>2022/08/05 2:28:13 PM GMT+9</t>
  </si>
  <si>
    <t>yeniratumustikasari@gmail.com</t>
  </si>
  <si>
    <t>Yeni Ratu Mustikasari</t>
  </si>
  <si>
    <t>Staff PPCU</t>
  </si>
  <si>
    <t>Teknis</t>
  </si>
  <si>
    <t>2022/08/05 2:30:28 PM GMT+9</t>
  </si>
  <si>
    <t>nonisa29@gmail.com</t>
  </si>
  <si>
    <t>Nonisa</t>
  </si>
  <si>
    <t>Hrd</t>
  </si>
  <si>
    <t>Hrd ga</t>
  </si>
  <si>
    <t>2022/08/05 2:47:12 PM GMT+9</t>
  </si>
  <si>
    <t>irham@aaslaboratory.com</t>
  </si>
  <si>
    <t>Irham Chudori</t>
  </si>
  <si>
    <t>2022/08/05 2:59:29 PM GMT+9</t>
  </si>
  <si>
    <t>hendri@aaslaboratory.com</t>
  </si>
  <si>
    <t>Hendri Andrayana</t>
  </si>
  <si>
    <t>Finance AR</t>
  </si>
  <si>
    <t>2022/08/05 3:01:32 PM GMT+9</t>
  </si>
  <si>
    <t>dputraadha@gmail.com</t>
  </si>
  <si>
    <t>Dewa Putra Adha</t>
  </si>
  <si>
    <t>2022/08/05 3:03:57 PM GMT+9</t>
  </si>
  <si>
    <t>albi.dimarcha@gmail.com</t>
  </si>
  <si>
    <t>Albiansyah Dimarcha Nurman</t>
  </si>
  <si>
    <t>Staff IT Programming</t>
  </si>
  <si>
    <t>HRDGA</t>
  </si>
  <si>
    <t>2022/08/05 3:16:01 PM GMT+9</t>
  </si>
  <si>
    <t>hsedept@aaslaboratory.com</t>
  </si>
  <si>
    <t xml:space="preserve">Bernadetta Sitepu </t>
  </si>
  <si>
    <t>2022/08/05 3:42:51 PM GMT+9</t>
  </si>
  <si>
    <t>fekaspratomo030288@gmail.com</t>
  </si>
  <si>
    <t xml:space="preserve">Fekas Pratomo </t>
  </si>
  <si>
    <t>Staff sampling</t>
  </si>
  <si>
    <t>2022/08/05 3:44:59 PM GMT+9</t>
  </si>
  <si>
    <t>safety@aaslaboratory.com</t>
  </si>
  <si>
    <t>MUHAMMAD RIZQON ARIFIANTO</t>
  </si>
  <si>
    <t>Junior 1</t>
  </si>
  <si>
    <t>2022/08/05 4:46:31 PM GMT+9</t>
  </si>
  <si>
    <t>trinofauzi29@gmail.com</t>
  </si>
  <si>
    <t>TRINO FAUZI</t>
  </si>
  <si>
    <t>2022/08/05 8:29:13 PM GMT+9</t>
  </si>
  <si>
    <t>m.yusuf.firmansyah92@gmail.com</t>
  </si>
  <si>
    <t>Mohammad Yusuf Firmansyah</t>
  </si>
  <si>
    <t>Staff Sampling Surabaya</t>
  </si>
  <si>
    <t>2022/08/06 12:10:13 AM GMT+9</t>
  </si>
  <si>
    <t>fakhriramadhan02@gmail.com</t>
  </si>
  <si>
    <t>Fakhri ramadhan</t>
  </si>
  <si>
    <t>Staf</t>
  </si>
  <si>
    <t>2022/08/06 8:26:48 AM GMT+9</t>
  </si>
  <si>
    <t>muhmunasir@gmali.com</t>
  </si>
  <si>
    <t>Muhammad Munasir</t>
  </si>
  <si>
    <t>2022/08/06 9:44:29 AM GMT+9</t>
  </si>
  <si>
    <t>suryaajiramadana@gmail.com</t>
  </si>
  <si>
    <t>Surya Aji Ramadana</t>
  </si>
  <si>
    <t>2022/08/06 9:56:23 AM GMT+9</t>
  </si>
  <si>
    <t>runnifaadhilah@gmail.com</t>
  </si>
  <si>
    <t>Khairunnisa Zulfa Faadhilah</t>
  </si>
  <si>
    <t>Laboratorium Lingkungan dan IH</t>
  </si>
  <si>
    <t>2022/08/06 10:38:13 AM GMT+9</t>
  </si>
  <si>
    <t>juhiridrisaaslab@gmail.com</t>
  </si>
  <si>
    <t>Djuhir Idris D</t>
  </si>
  <si>
    <t>HGA</t>
  </si>
  <si>
    <t>2022/08/06 12:29:05 PM GMT+9</t>
  </si>
  <si>
    <t>diyahaaslaboratory@gmail.com</t>
  </si>
  <si>
    <t>Diyah Sri Partiningtyas</t>
  </si>
  <si>
    <t>Staff Accounting</t>
  </si>
  <si>
    <t>2022/08/06 12:31:55 PM GMT+9</t>
  </si>
  <si>
    <t>deovani.dra@gmail.com</t>
  </si>
  <si>
    <t>Deovani Rahmat Atmaja</t>
  </si>
  <si>
    <t>Staff Kalibrasi</t>
  </si>
  <si>
    <t>2022/08/06 12:34:58 PM GMT+9</t>
  </si>
  <si>
    <t>fatchurrozaq1999@gmail.com</t>
  </si>
  <si>
    <t>Fatchur Rozaq</t>
  </si>
  <si>
    <t>2022/08/06 12:35:11 PM GMT+9</t>
  </si>
  <si>
    <t>bahtiarr7@gmail.com</t>
  </si>
  <si>
    <t xml:space="preserve">Bahtiar </t>
  </si>
  <si>
    <t>2022/08/06 12:35:56 PM GMT+9</t>
  </si>
  <si>
    <t>achmadhanif42@gmail.com</t>
  </si>
  <si>
    <t>Achmad Hanif</t>
  </si>
  <si>
    <t>Admin Alat</t>
  </si>
  <si>
    <t>2022/08/06 12:35:59 PM GMT+9</t>
  </si>
  <si>
    <t>vickymaynaki10@gmail.com</t>
  </si>
  <si>
    <t>viki Maynaki</t>
  </si>
  <si>
    <t>Staff IT</t>
  </si>
  <si>
    <t>HRD &amp;GA</t>
  </si>
  <si>
    <t>2022/08/06 12:36:26 PM GMT+9</t>
  </si>
  <si>
    <t>ajikusuma50@gmail.com</t>
  </si>
  <si>
    <t>ajie kusuma dany</t>
  </si>
  <si>
    <t>staf sampling</t>
  </si>
  <si>
    <t>sampling</t>
  </si>
  <si>
    <t>2022/08/06 12:41:12 PM GMT+9</t>
  </si>
  <si>
    <t>yustinanuraini14@gmail.com</t>
  </si>
  <si>
    <t>Yustina Nuraini</t>
  </si>
  <si>
    <t>Enviro Lab</t>
  </si>
  <si>
    <t>2022/08/06 12:41:45 PM GMT+9</t>
  </si>
  <si>
    <t>daffamuayyadfawwaz@gmail.com</t>
  </si>
  <si>
    <t>Daffa' Mu'ayyad Fawwaz</t>
  </si>
  <si>
    <t>PT Anugrah Analisis Sempurna (Lantai 4, Toksik)</t>
  </si>
  <si>
    <t>2022/08/06 12:43:43 PM GMT+9</t>
  </si>
  <si>
    <t>izharmanfadzi7@gmail.com</t>
  </si>
  <si>
    <t>Izhar Manfadzi</t>
  </si>
  <si>
    <t>Keuangan AR</t>
  </si>
  <si>
    <t>2022/08/06 12:44:07 PM GMT+9</t>
  </si>
  <si>
    <t>arganatha95@gmail.com</t>
  </si>
  <si>
    <t>Arganatha Eka Putra</t>
  </si>
  <si>
    <t>2022/08/06 12:45:34 PM GMT+9</t>
  </si>
  <si>
    <t>iqbalramadhan121299@gmail.com</t>
  </si>
  <si>
    <t>Iqbal Ramadhan</t>
  </si>
  <si>
    <t>2022/08/06 12:46:13 PM GMT+9</t>
  </si>
  <si>
    <t>mcdownmilady@yahoo.com</t>
  </si>
  <si>
    <t xml:space="preserve">M. SAYIDINA MILADY. T. </t>
  </si>
  <si>
    <t>DRIVER</t>
  </si>
  <si>
    <t>HRGA</t>
  </si>
  <si>
    <t>2022/08/06 12:57:46 PM GMT+9</t>
  </si>
  <si>
    <t>krisramdhan@gmail.com</t>
  </si>
  <si>
    <t>Kris Ramdhan Wicaksono</t>
  </si>
  <si>
    <t>2022/08/06 1:02:56 PM GMT+9</t>
  </si>
  <si>
    <t>lenidewipuspita21@gmail.com</t>
  </si>
  <si>
    <t>Leni Dewipuspita</t>
  </si>
  <si>
    <t>2022/08/06 1:08:41 PM GMT+9</t>
  </si>
  <si>
    <t>rifairananggana@gmail.com</t>
  </si>
  <si>
    <t>Rifai Yusuf Rananggana</t>
  </si>
  <si>
    <t>2022/08/06 1:19:05 PM GMT+9</t>
  </si>
  <si>
    <t>muhamadiqbalnm@gmail.com</t>
  </si>
  <si>
    <t>MUHAMAD IQBAL</t>
  </si>
  <si>
    <t>PLT. SPV ACC TAX</t>
  </si>
  <si>
    <t>KEUANGAN</t>
  </si>
  <si>
    <t>2022/08/06 1:36:25 PM GMT+9</t>
  </si>
  <si>
    <t>faizfchrzl@gmail.com</t>
  </si>
  <si>
    <t>FAIZ FACHRIZAL</t>
  </si>
  <si>
    <t>Environment</t>
  </si>
  <si>
    <t>2022/08/06 1:39:34 PM GMT+9</t>
  </si>
  <si>
    <t>shilviapphu@gmail.com</t>
  </si>
  <si>
    <t>shilvia astryanti</t>
  </si>
  <si>
    <t>PPHU</t>
  </si>
  <si>
    <t>2022/08/06 2:01:28 PM GMT+9</t>
  </si>
  <si>
    <t>rifkisnugraha@gmail.com</t>
  </si>
  <si>
    <t>Rifki Surya Nugraha</t>
  </si>
  <si>
    <t xml:space="preserve">Staff Sampling </t>
  </si>
  <si>
    <t>2022/08/06 2:08:47 PM GMT+9</t>
  </si>
  <si>
    <t>bataradaning@gmail.com</t>
  </si>
  <si>
    <t>Batara Daning Aditya</t>
  </si>
  <si>
    <t>2022/08/06 2:22:01 PM GMT+9</t>
  </si>
  <si>
    <t>yuli@aaslaboratory.com</t>
  </si>
  <si>
    <t>Yuli Yanti</t>
  </si>
  <si>
    <t>Asisten Manager</t>
  </si>
  <si>
    <t>Laboratorium</t>
  </si>
  <si>
    <t>2022/08/06 2:32:34 PM GMT+9</t>
  </si>
  <si>
    <t>irawanfaiz9@gmail.com</t>
  </si>
  <si>
    <t>Mohammad Faiz Irawan</t>
  </si>
  <si>
    <t>Staff Umum</t>
  </si>
  <si>
    <t>2022/08/06 3:01:18 PM GMT+9</t>
  </si>
  <si>
    <t>mahatmahandoko@gmail.com</t>
  </si>
  <si>
    <t>Mahatma Ikhwan Handoko</t>
  </si>
  <si>
    <t>Staff HRGA</t>
  </si>
  <si>
    <t>HRD &amp; GA</t>
  </si>
  <si>
    <t>2022/08/06 3:09:13 PM GMT+9</t>
  </si>
  <si>
    <t>tulus.hmf@gmail.com</t>
  </si>
  <si>
    <t>Tulus Hastuti Meifera</t>
  </si>
  <si>
    <t>Senior Admin Kalibrasi</t>
  </si>
  <si>
    <t>2022/08/06 3:10:52 PM GMT+9</t>
  </si>
  <si>
    <t>miftahamaliyah@gmail.com</t>
  </si>
  <si>
    <t xml:space="preserve">Miftah Amaliyah </t>
  </si>
  <si>
    <t xml:space="preserve">Mikrobiologi </t>
  </si>
  <si>
    <t>2022/08/06 3:11:17 PM GMT+9</t>
  </si>
  <si>
    <t>evareysita@gmail.com</t>
  </si>
  <si>
    <t>eva reysita</t>
  </si>
  <si>
    <t>mikrobiologi</t>
  </si>
  <si>
    <t>2022/08/06 3:19:44 PM GMT+9</t>
  </si>
  <si>
    <t>gillangeristiawan@gmail.com</t>
  </si>
  <si>
    <t>gillang</t>
  </si>
  <si>
    <t>teknisi</t>
  </si>
  <si>
    <t>lab</t>
  </si>
  <si>
    <t>2022/08/06 3:48:15 PM GMT+9</t>
  </si>
  <si>
    <t>sheilamonica038@gmail.com</t>
  </si>
  <si>
    <t>Sheila Monica</t>
  </si>
  <si>
    <t>2022/08/06 4:37:26 PM GMT+9</t>
  </si>
  <si>
    <t>patarhalomoanyam@gmail.com</t>
  </si>
  <si>
    <t>PATAR H Y ALFINE MANALU</t>
  </si>
  <si>
    <t>2022/08/06 6:58:51 PM GMT+9</t>
  </si>
  <si>
    <t>ayogawibowo74@gmail.com</t>
  </si>
  <si>
    <t>Ayoga Wibowo</t>
  </si>
  <si>
    <t>2022/08/06 8:04:30 PM GMT+9</t>
  </si>
  <si>
    <t>febryramadhanay@gmail.com</t>
  </si>
  <si>
    <t>Febry ramadhana yuda</t>
  </si>
  <si>
    <t>Senior analis</t>
  </si>
  <si>
    <t>2022/08/06 9:02:29 PM GMT+9</t>
  </si>
  <si>
    <t>jokoaas79@gmail.com</t>
  </si>
  <si>
    <t>Joko susilo</t>
  </si>
  <si>
    <t xml:space="preserve">Sampling ( HRGA) </t>
  </si>
  <si>
    <t>Tidak Pernah;Sering Sekali</t>
  </si>
  <si>
    <t>2022/08/06 9:04:29 PM GMT+9</t>
  </si>
  <si>
    <t>rikisusanto14@gmail.com</t>
  </si>
  <si>
    <t>Riki Susanto</t>
  </si>
  <si>
    <t>Staff Maintenance</t>
  </si>
  <si>
    <t>2022/08/07 12:18:18 AM GMT+9</t>
  </si>
  <si>
    <t>alfiannurfirdaus9@gmail.com</t>
  </si>
  <si>
    <t>Alfian Nur Firdaus</t>
  </si>
  <si>
    <t>2022/08/07 8:19:34 AM GMT+9</t>
  </si>
  <si>
    <t>ashfiasy@gmail.com</t>
  </si>
  <si>
    <t>Ashfia Alfa Syarifah</t>
  </si>
  <si>
    <t>2022/08/07 9:13:35 AM GMT+9</t>
  </si>
  <si>
    <t>zikriaulia767@gmail.com</t>
  </si>
  <si>
    <t>Zikri Aulia Rahman</t>
  </si>
  <si>
    <t>2022/08/07 10:12:06 AM GMT+9</t>
  </si>
  <si>
    <t>dedeoktario@gmail.com</t>
  </si>
  <si>
    <t>Dede Oktario</t>
  </si>
  <si>
    <t>2022/08/07 11:44:52 AM GMT+9</t>
  </si>
  <si>
    <t>yustiardim@gmail.com</t>
  </si>
  <si>
    <t>Dani Y</t>
  </si>
  <si>
    <t>Spv busdev</t>
  </si>
  <si>
    <t>Busdev</t>
  </si>
  <si>
    <t>2022/08/07 12:18:17 PM GMT+9</t>
  </si>
  <si>
    <t>farsyadivaazkaleta@gmail.com</t>
  </si>
  <si>
    <t>Farsya Diva Azkaleta</t>
  </si>
  <si>
    <t>Admin Laboratorium</t>
  </si>
  <si>
    <t>2022/08/07 12:23:24 PM GMT+9</t>
  </si>
  <si>
    <t>erliariga6@gmail.com</t>
  </si>
  <si>
    <t>Erlia Riga Aryani</t>
  </si>
  <si>
    <t>Staff Analis</t>
  </si>
  <si>
    <t>2022/08/07 12:29:19 PM GMT+9</t>
  </si>
  <si>
    <t>nurfaidasallam@gmail.com</t>
  </si>
  <si>
    <t>Nurfaida</t>
  </si>
  <si>
    <t>Customer relation</t>
  </si>
  <si>
    <t>2022/08/07 12:32:37 PM GMT+9</t>
  </si>
  <si>
    <t>chatamiaramadhanifitri@gmail.com</t>
  </si>
  <si>
    <t>Chatamia ramadhani fitri</t>
  </si>
  <si>
    <t>2022/08/07 12:41:17 PM GMT+9</t>
  </si>
  <si>
    <t>husnnyridayanza@gmail.com</t>
  </si>
  <si>
    <t>Husni Ridayanza</t>
  </si>
  <si>
    <t>Analis junior</t>
  </si>
  <si>
    <t>2022/08/07 12:56:08 PM GMT+9</t>
  </si>
  <si>
    <t>endang.permana10@gmail.com</t>
  </si>
  <si>
    <t>Endang Permana</t>
  </si>
  <si>
    <t>2022/08/07 12:59:56 PM GMT+9</t>
  </si>
  <si>
    <t>iqbalr814@gmail.com</t>
  </si>
  <si>
    <t>Divisi agricultur</t>
  </si>
  <si>
    <t>2022/08/07 1:08:07 PM GMT+9</t>
  </si>
  <si>
    <t>hikmahnurhikmah041@gmail.com</t>
  </si>
  <si>
    <t>Nurhikmah</t>
  </si>
  <si>
    <t>Admin sampling</t>
  </si>
  <si>
    <t>2022/08/07 1:13:08 PM GMT+9</t>
  </si>
  <si>
    <t>radiwiguna566@gmail.com</t>
  </si>
  <si>
    <t>Rangga Adi Wiguna</t>
  </si>
  <si>
    <t>2022/08/07 1:22:05 PM GMT+9</t>
  </si>
  <si>
    <t>Affansaputra.As@gmail.com</t>
  </si>
  <si>
    <t>Affan saputra</t>
  </si>
  <si>
    <t>2022/08/07 3:05:59 PM GMT+9</t>
  </si>
  <si>
    <t>ninamardiana707@gmail.com</t>
  </si>
  <si>
    <t>Nina Mardiana</t>
  </si>
  <si>
    <t>2022/08/07 4:45:03 PM GMT+9</t>
  </si>
  <si>
    <t>ndri.bestfemale@gmai.com</t>
  </si>
  <si>
    <t>Indri Karunia TL</t>
  </si>
  <si>
    <t>Admin Senior</t>
  </si>
  <si>
    <t>2022/08/07 4:55:56 PM GMT+9</t>
  </si>
  <si>
    <t>it@aaslaboratory.com</t>
  </si>
  <si>
    <t>Andriyan</t>
  </si>
  <si>
    <t>IT Staf</t>
  </si>
  <si>
    <t>2022/08/07 6:11:44 PM GMT+9</t>
  </si>
  <si>
    <t>putri.zaenal26@gmail.com</t>
  </si>
  <si>
    <t>Zaenal Abidin</t>
  </si>
  <si>
    <t>ME</t>
  </si>
  <si>
    <t>HRD-GA</t>
  </si>
  <si>
    <t>2022/08/07 9:27:22 PM GMT+9</t>
  </si>
  <si>
    <t>novanurmala27@gmail.com</t>
  </si>
  <si>
    <t>Nova Indah Nurmala</t>
  </si>
  <si>
    <t>Junior Analis</t>
  </si>
  <si>
    <t>Lab Enviro</t>
  </si>
  <si>
    <t>2022/08/07 9:33:47 PM GMT+9</t>
  </si>
  <si>
    <t>faradillakushaerani2308@gmail.com</t>
  </si>
  <si>
    <t xml:space="preserve">Faradilla Kushaerani </t>
  </si>
  <si>
    <t xml:space="preserve">Analis Junior </t>
  </si>
  <si>
    <t>Lab. Enviro</t>
  </si>
  <si>
    <t>2022/08/07 8:26:43 PM GMT+7</t>
  </si>
  <si>
    <t>hfebbyanti@gmail.com</t>
  </si>
  <si>
    <t>Herlina Febbiyanti</t>
  </si>
  <si>
    <t>Admin Sales</t>
  </si>
  <si>
    <t>Kadang-Kadang;Sering;Sering Sekali</t>
  </si>
  <si>
    <t>2022/08/07 8:28:58 PM GMT+7</t>
  </si>
  <si>
    <t>milahwahyuni05@gmail.com</t>
  </si>
  <si>
    <t>Milah wahyuni</t>
  </si>
  <si>
    <t>Analis kimia</t>
  </si>
  <si>
    <t>Jarang Sekali;Selalu</t>
  </si>
  <si>
    <t>2022/08/07 8:29:54 PM GMT+7</t>
  </si>
  <si>
    <t>evita.rahmawati90@gmail.com</t>
  </si>
  <si>
    <t>Evita rahmawati</t>
  </si>
  <si>
    <t>Asisten manager</t>
  </si>
  <si>
    <t>2022/08/07 8:41:59 PM GMT+7</t>
  </si>
  <si>
    <t>pujianarahayuu@gmail.com</t>
  </si>
  <si>
    <t>Pujiana Rahayu</t>
  </si>
  <si>
    <t>2022/08/07 9:01:10 PM GMT+7</t>
  </si>
  <si>
    <t>muhammad.hanif.chemist@gmail.com</t>
  </si>
  <si>
    <t>Muhammad Hanif</t>
  </si>
  <si>
    <t>Senior analis RnD</t>
  </si>
  <si>
    <t>Lab Agribio/RnD</t>
  </si>
  <si>
    <t>2022/08/07 9:08:49 PM GMT+7</t>
  </si>
  <si>
    <t>nugroho44@gmail.com</t>
  </si>
  <si>
    <t>Nugroho Aji Andhika</t>
  </si>
  <si>
    <t>Busdev Staff</t>
  </si>
  <si>
    <t>Marketing Busdev</t>
  </si>
  <si>
    <t>2022/08/07 9:21:46 PM GMT+7</t>
  </si>
  <si>
    <t>mohamadjaelani051210@gmail.com</t>
  </si>
  <si>
    <t xml:space="preserve">Mohamad jaelani </t>
  </si>
  <si>
    <t>Petugas sampling</t>
  </si>
  <si>
    <t>2022/08/07 10:37:33 PM GMT+7</t>
  </si>
  <si>
    <t>odietadam@gmail.com</t>
  </si>
  <si>
    <t>Muhammad Odiet Adan</t>
  </si>
  <si>
    <t>2022/08/07 11:24:23 PM GMT+7</t>
  </si>
  <si>
    <t>hadims56.hms@gmail.com</t>
  </si>
  <si>
    <t>Hadi muhammad sidiq</t>
  </si>
  <si>
    <t>AVERAGE SCORE</t>
  </si>
  <si>
    <t>STRESSOR UTAMA</t>
  </si>
  <si>
    <t>Agribio</t>
  </si>
  <si>
    <t>Pertanyaan Nomor</t>
  </si>
  <si>
    <t>Sales &amp; M.BusDev</t>
  </si>
  <si>
    <t>PPCU PPHU</t>
  </si>
  <si>
    <t>Lab</t>
  </si>
  <si>
    <t>Agri</t>
  </si>
  <si>
    <t>kalibrasi</t>
  </si>
  <si>
    <t>QAHSE</t>
  </si>
  <si>
    <t>Stress utama di Divisi Sales &amp; M. Busdev adalah Stressor Beban Berlebih Kuantitatif.</t>
  </si>
  <si>
    <t>Stress utama di Divisi PPCU PPHU adalah Stressor Tanggung jawab terhadap orang lain.</t>
  </si>
  <si>
    <t>Stress utama di Divisi Lab adalah Stressor Tanggung jawab terhadap orang lain.</t>
  </si>
  <si>
    <t>Stress utama di Divisi Agri adalah Stressor Beban Berlebih Kualitatif</t>
  </si>
  <si>
    <t>Stress utama di Divisi HRGA adalah stressor Tanggung jawab terhadap orang lain.</t>
  </si>
  <si>
    <t>Stress utama di Divisi Sampling adalah stressor Tanggung jawab terhadap orang lain</t>
  </si>
  <si>
    <t>Stress utama di Divisi Finance adalah stressor Tanggung jawab terhadap orang lain</t>
  </si>
  <si>
    <t>Stress utama di Divisi Enviro adalah Stressor Beban Berlebih Kualitatif</t>
  </si>
  <si>
    <t>Stress utama di Divisi Kalibrasi stressor Tanggung jawab terhadap orang lain</t>
  </si>
  <si>
    <t>Stress utama di Divisi QAHSE stressor Tanggung jawab terhadap orang lain</t>
  </si>
  <si>
    <t>Crosscheck sesuai</t>
  </si>
  <si>
    <t>TJO</t>
  </si>
  <si>
    <t>BBKuan</t>
  </si>
  <si>
    <t>BBKual</t>
  </si>
  <si>
    <t>Laboratorium LT 4 Toksik</t>
  </si>
  <si>
    <t>Lab LT 4</t>
  </si>
  <si>
    <t>I.C</t>
  </si>
  <si>
    <t>F.R</t>
  </si>
  <si>
    <t>AMA</t>
  </si>
  <si>
    <t>P.H.Y</t>
  </si>
  <si>
    <t>H.F</t>
  </si>
  <si>
    <t>D.Y</t>
  </si>
  <si>
    <t>N.A</t>
  </si>
  <si>
    <t>I.K.T.L</t>
  </si>
  <si>
    <t>S.A</t>
  </si>
  <si>
    <t>N.F</t>
  </si>
  <si>
    <t>Y.R.M</t>
  </si>
  <si>
    <t>D.N</t>
  </si>
  <si>
    <t>M.G</t>
  </si>
  <si>
    <t>A.H</t>
  </si>
  <si>
    <t>YUL</t>
  </si>
  <si>
    <t>F.R.Y</t>
  </si>
  <si>
    <t>Z.A.R</t>
  </si>
  <si>
    <t>F.D.A</t>
  </si>
  <si>
    <t>NUR</t>
  </si>
  <si>
    <t>M.W</t>
  </si>
  <si>
    <t>E.R</t>
  </si>
  <si>
    <t>M.O.A</t>
  </si>
  <si>
    <t>K.Z.F</t>
  </si>
  <si>
    <t>A.A</t>
  </si>
  <si>
    <t>SUS</t>
  </si>
  <si>
    <t>A.A.S</t>
  </si>
  <si>
    <t>EV</t>
  </si>
  <si>
    <t>M.A</t>
  </si>
  <si>
    <t>D.M.F</t>
  </si>
  <si>
    <t>M.H</t>
  </si>
  <si>
    <t>D.C.A</t>
  </si>
  <si>
    <t>N.H</t>
  </si>
  <si>
    <t>S.M</t>
  </si>
  <si>
    <t>C.R.F</t>
  </si>
  <si>
    <t>I.R</t>
  </si>
  <si>
    <t>D.I.D</t>
  </si>
  <si>
    <t>M.I.H</t>
  </si>
  <si>
    <t>R.S</t>
  </si>
  <si>
    <t>E.S</t>
  </si>
  <si>
    <t>NON</t>
  </si>
  <si>
    <t>AND</t>
  </si>
  <si>
    <t>Z.A</t>
  </si>
  <si>
    <t>M.S.M</t>
  </si>
  <si>
    <t>M.F.I</t>
  </si>
  <si>
    <t>V.M</t>
  </si>
  <si>
    <t>A.P</t>
  </si>
  <si>
    <t>M.A.S</t>
  </si>
  <si>
    <t>UMA</t>
  </si>
  <si>
    <t>J.A.M</t>
  </si>
  <si>
    <t>A.R</t>
  </si>
  <si>
    <t>A.R.P</t>
  </si>
  <si>
    <t>P.P</t>
  </si>
  <si>
    <t>S.H.R</t>
  </si>
  <si>
    <t>A.I</t>
  </si>
  <si>
    <t>M.A.F</t>
  </si>
  <si>
    <t>M.R.A</t>
  </si>
  <si>
    <t>R.I.A.A</t>
  </si>
  <si>
    <t>D.P.A</t>
  </si>
  <si>
    <t>F.P</t>
  </si>
  <si>
    <t>T.F</t>
  </si>
  <si>
    <t>M.Y.F</t>
  </si>
  <si>
    <t>M.M</t>
  </si>
  <si>
    <t>S.A.R</t>
  </si>
  <si>
    <t>A.K.D</t>
  </si>
  <si>
    <t>A.E.P</t>
  </si>
  <si>
    <t>K.R.W</t>
  </si>
  <si>
    <t>R.Y.R</t>
  </si>
  <si>
    <t>R.S.N</t>
  </si>
  <si>
    <t>A.N.F</t>
  </si>
  <si>
    <t>D.O</t>
  </si>
  <si>
    <t>E.P</t>
  </si>
  <si>
    <t>R.A.W</t>
  </si>
  <si>
    <t>A.S</t>
  </si>
  <si>
    <t>M.J</t>
  </si>
  <si>
    <t>F.M</t>
  </si>
  <si>
    <t>U.F</t>
  </si>
  <si>
    <t>J.S</t>
  </si>
  <si>
    <t>DAN</t>
  </si>
  <si>
    <t>H.A</t>
  </si>
  <si>
    <t>D.S.P</t>
  </si>
  <si>
    <t>CYN</t>
  </si>
  <si>
    <t>D.R</t>
  </si>
  <si>
    <t>M.I</t>
  </si>
  <si>
    <t>B.D.A</t>
  </si>
  <si>
    <t>I.H.P</t>
  </si>
  <si>
    <t>I.M</t>
  </si>
  <si>
    <t>M.R.K</t>
  </si>
  <si>
    <t>BAH</t>
  </si>
  <si>
    <t>A.W</t>
  </si>
  <si>
    <t>E.R.A</t>
  </si>
  <si>
    <t>H.R</t>
  </si>
  <si>
    <t>N.M</t>
  </si>
  <si>
    <t>P.R</t>
  </si>
  <si>
    <t>H.M.S</t>
  </si>
  <si>
    <t>Y.N</t>
  </si>
  <si>
    <t>L.D</t>
  </si>
  <si>
    <t>U.T.P</t>
  </si>
  <si>
    <t>F.F</t>
  </si>
  <si>
    <t>N.I.M</t>
  </si>
  <si>
    <t>F.K</t>
  </si>
  <si>
    <t>D.M.M</t>
  </si>
  <si>
    <t>D.R.A</t>
  </si>
  <si>
    <t>T.H.M</t>
  </si>
  <si>
    <t>M.N.Y</t>
  </si>
  <si>
    <t>D.A</t>
  </si>
  <si>
    <t>B.S</t>
  </si>
  <si>
    <t>Sales &amp; M. Busdev</t>
  </si>
  <si>
    <t>SUM</t>
  </si>
  <si>
    <t>MIN</t>
  </si>
  <si>
    <t>MAX</t>
  </si>
  <si>
    <t>STDEV</t>
  </si>
  <si>
    <t>KOEF.VARIASI</t>
  </si>
  <si>
    <t>Lab Agriculture</t>
  </si>
  <si>
    <t xml:space="preserve">Lab Kalibrasi </t>
  </si>
  <si>
    <t xml:space="preserve">Lab Mikrobiologi </t>
  </si>
  <si>
    <t>A.D.N</t>
  </si>
  <si>
    <t>NURH</t>
  </si>
  <si>
    <t>Y.Y</t>
  </si>
  <si>
    <t>T.H.M.F</t>
  </si>
  <si>
    <t>GIL</t>
  </si>
  <si>
    <t>N.I.N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</si>
</sst>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0" fontId="16" fillId="0" borderId="0" xfId="0" applyFont="1"/>
    <xf numFmtId="0" fontId="0" fillId="0" borderId="0" xfId="0" applyAlignment="1">
      <alignment horizontal="center" vertical="center"/>
    </xf>
    <xf numFmtId="0" fontId="0" fillId="0" borderId="10" xfId="0" applyBorder="1"/>
    <xf numFmtId="0" fontId="16" fillId="0" borderId="0" xfId="0" applyFont="1" applyAlignment="1">
      <alignment horizontal="center"/>
    </xf>
    <xf numFmtId="0" fontId="18" fillId="0" borderId="10" xfId="0" applyFont="1" applyBorder="1" applyAlignment="1">
      <alignment horizontal="justify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16" fillId="33" borderId="10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20" fillId="0" borderId="10" xfId="0" applyFont="1" applyBorder="1"/>
    <xf numFmtId="2" fontId="0" fillId="0" borderId="0" xfId="0" applyNumberFormat="1"/>
    <xf numFmtId="2" fontId="20" fillId="33" borderId="0" xfId="0" applyNumberFormat="1" applyFont="1" applyFill="1"/>
    <xf numFmtId="0" fontId="18" fillId="34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0" fillId="35" borderId="10" xfId="0" applyFill="1" applyBorder="1" applyAlignment="1">
      <alignment horizontal="center"/>
    </xf>
    <xf numFmtId="0" fontId="0" fillId="35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/>
    </xf>
    <xf numFmtId="0" fontId="17" fillId="36" borderId="10" xfId="0" applyFont="1" applyFill="1" applyBorder="1" applyAlignment="1">
      <alignment horizontal="center" vertical="center"/>
    </xf>
    <xf numFmtId="0" fontId="17" fillId="36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2" fillId="0" borderId="0" xfId="0" applyFont="1"/>
    <xf numFmtId="0" fontId="23" fillId="33" borderId="10" xfId="0" applyFont="1" applyFill="1" applyBorder="1" applyAlignment="1">
      <alignment horizontal="right" vertical="center"/>
    </xf>
    <xf numFmtId="0" fontId="23" fillId="38" borderId="10" xfId="0" applyFont="1" applyFill="1" applyBorder="1" applyAlignment="1">
      <alignment horizontal="right" vertical="center"/>
    </xf>
    <xf numFmtId="0" fontId="23" fillId="39" borderId="10" xfId="0" applyFont="1" applyFill="1" applyBorder="1" applyAlignment="1">
      <alignment horizontal="right" vertical="center"/>
    </xf>
    <xf numFmtId="0" fontId="23" fillId="40" borderId="10" xfId="0" applyFont="1" applyFill="1" applyBorder="1" applyAlignment="1">
      <alignment horizontal="right" vertical="center"/>
    </xf>
    <xf numFmtId="0" fontId="22" fillId="0" borderId="0" xfId="0" applyFont="1" applyBorder="1" applyAlignment="1">
      <alignment horizontal="center" vertical="center"/>
    </xf>
    <xf numFmtId="0" fontId="23" fillId="41" borderId="10" xfId="0" applyFont="1" applyFill="1" applyBorder="1" applyAlignment="1">
      <alignment horizontal="right" vertical="center"/>
    </xf>
    <xf numFmtId="0" fontId="24" fillId="37" borderId="13" xfId="0" applyFont="1" applyFill="1" applyBorder="1" applyAlignment="1">
      <alignment horizontal="center" vertical="center"/>
    </xf>
    <xf numFmtId="2" fontId="25" fillId="0" borderId="10" xfId="0" applyNumberFormat="1" applyFont="1" applyFill="1" applyBorder="1" applyAlignment="1">
      <alignment horizontal="center" vertical="center"/>
    </xf>
    <xf numFmtId="0" fontId="26" fillId="33" borderId="10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" fontId="25" fillId="0" borderId="10" xfId="0" applyNumberFormat="1" applyFont="1" applyFill="1" applyBorder="1" applyAlignment="1">
      <alignment horizontal="center" vertical="center"/>
    </xf>
    <xf numFmtId="2" fontId="25" fillId="0" borderId="10" xfId="0" applyNumberFormat="1" applyFont="1" applyFill="1" applyBorder="1" applyAlignment="1">
      <alignment horizontal="center"/>
    </xf>
    <xf numFmtId="0" fontId="0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externalLink" Target="externalLinks/externalLink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[1]Sheet1!$A$2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5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[1]Sheet1!$B$2:$K$2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8-4B41-96CC-189063A2B156}"/>
            </c:ext>
          </c:extLst>
        </c:ser>
        <c:ser>
          <c:idx val="1"/>
          <c:order val="1"/>
          <c:tx>
            <c:strRef>
              <c:f>[1]Sheet1!$A$3</c:f>
              <c:strCache>
                <c:ptCount val="1"/>
                <c:pt idx="0">
                  <c:v>Kab. Bogor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5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[1]Sheet1!$B$3:$F$3</c:f>
              <c:numCache>
                <c:formatCode>_-* #,##0_-;\-* #,##0_-;_-* "-"??_-;_-@_-</c:formatCode>
                <c:ptCount val="5"/>
                <c:pt idx="0">
                  <c:v>0</c:v>
                </c:pt>
                <c:pt idx="1">
                  <c:v>7799</c:v>
                </c:pt>
                <c:pt idx="2">
                  <c:v>533</c:v>
                </c:pt>
                <c:pt idx="3">
                  <c:v>13431</c:v>
                </c:pt>
                <c:pt idx="4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8-4B41-96CC-189063A2B156}"/>
            </c:ext>
          </c:extLst>
        </c:ser>
        <c:ser>
          <c:idx val="2"/>
          <c:order val="2"/>
          <c:tx>
            <c:strRef>
              <c:f>[1]Sheet1!$A$4</c:f>
              <c:strCache>
                <c:ptCount val="1"/>
                <c:pt idx="0">
                  <c:v>Kab. Sukabumi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5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[1]Sheet1!$B$4:$K$4</c:f>
              <c:numCache>
                <c:formatCode>_-* #,##0_-;\-* #,##0_-;_-* "-"??_-;_-@_-</c:formatCode>
                <c:ptCount val="10"/>
                <c:pt idx="0">
                  <c:v>11007</c:v>
                </c:pt>
                <c:pt idx="1">
                  <c:v>8349</c:v>
                </c:pt>
                <c:pt idx="2">
                  <c:v>409</c:v>
                </c:pt>
                <c:pt idx="3">
                  <c:v>4663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8-4B41-96CC-189063A2B156}"/>
            </c:ext>
          </c:extLst>
        </c:ser>
        <c:ser>
          <c:idx val="3"/>
          <c:order val="3"/>
          <c:tx>
            <c:strRef>
              <c:f>[1]Sheet1!$A$5</c:f>
              <c:strCache>
                <c:ptCount val="1"/>
                <c:pt idx="0">
                  <c:v>Kab. Cianjur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5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[1]Sheet1!$B$5:$K$5</c:f>
              <c:numCache>
                <c:formatCode>_-* #,##0_-;\-* #,##0_-;_-* "-"??_-;_-@_-</c:formatCode>
                <c:ptCount val="10"/>
                <c:pt idx="0">
                  <c:v>3272</c:v>
                </c:pt>
                <c:pt idx="1">
                  <c:v>3030</c:v>
                </c:pt>
                <c:pt idx="2">
                  <c:v>65</c:v>
                </c:pt>
                <c:pt idx="3">
                  <c:v>2838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E8-4B41-96CC-189063A2B156}"/>
            </c:ext>
          </c:extLst>
        </c:ser>
        <c:ser>
          <c:idx val="4"/>
          <c:order val="4"/>
          <c:tx>
            <c:strRef>
              <c:f>[1]Sheet1!$A$6</c:f>
              <c:strCache>
                <c:ptCount val="1"/>
                <c:pt idx="0">
                  <c:v>Kab. Bandung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5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[1]Sheet1!$B$6:$K$6</c:f>
              <c:numCache>
                <c:formatCode>_-* #,##0_-;\-* #,##0_-;_-* "-"??_-;_-@_-</c:formatCode>
                <c:ptCount val="10"/>
                <c:pt idx="0">
                  <c:v>27874</c:v>
                </c:pt>
                <c:pt idx="1">
                  <c:v>5270</c:v>
                </c:pt>
                <c:pt idx="2">
                  <c:v>31</c:v>
                </c:pt>
                <c:pt idx="3">
                  <c:v>10583</c:v>
                </c:pt>
                <c:pt idx="4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E8-4B41-96CC-189063A2B156}"/>
            </c:ext>
          </c:extLst>
        </c:ser>
        <c:ser>
          <c:idx val="5"/>
          <c:order val="5"/>
          <c:tx>
            <c:strRef>
              <c:f>[1]Sheet1!$A$7</c:f>
              <c:strCache>
                <c:ptCount val="1"/>
                <c:pt idx="0">
                  <c:v>Kab. Garut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[1]Sheet1!$B$1:$K$1</c:f>
              <c:strCache>
                <c:ptCount val="5"/>
                <c:pt idx="0">
                  <c:v>Kontak Erat</c:v>
                </c:pt>
                <c:pt idx="1">
                  <c:v>Suspek</c:v>
                </c:pt>
                <c:pt idx="2">
                  <c:v>Probable</c:v>
                </c:pt>
                <c:pt idx="3">
                  <c:v>Sembuh</c:v>
                </c:pt>
                <c:pt idx="4">
                  <c:v>Meninggal</c:v>
                </c:pt>
              </c:strCache>
            </c:strRef>
          </c:cat>
          <c:val>
            <c:numRef>
              <c:f>[1]Sheet1!$B$7:$K$7</c:f>
              <c:numCache>
                <c:formatCode>_-* #,##0_-;\-* #,##0_-;_-* "-"??_-;_-@_-</c:formatCode>
                <c:ptCount val="10"/>
                <c:pt idx="0">
                  <c:v>19810</c:v>
                </c:pt>
                <c:pt idx="1">
                  <c:v>9032</c:v>
                </c:pt>
                <c:pt idx="2">
                  <c:v>0</c:v>
                </c:pt>
                <c:pt idx="3">
                  <c:v>8769</c:v>
                </c:pt>
                <c:pt idx="4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E8-4B41-96CC-189063A2B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9658248"/>
        <c:axId val="345058912"/>
      </c:barChart>
      <c:catAx>
        <c:axId val="309658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058912"/>
        <c:crosses val="autoZero"/>
        <c:auto val="1"/>
        <c:lblAlgn val="ctr"/>
        <c:lblOffset val="100"/>
        <c:noMultiLvlLbl val="0"/>
      </c:catAx>
      <c:valAx>
        <c:axId val="3450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658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PARTICIPANT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Sheet1!$C$2:$C$11</c:f>
              <c:strCache>
                <c:ptCount val="10"/>
                <c:pt idx="0">
                  <c:v>Sales &amp; M. Busdev</c:v>
                </c:pt>
                <c:pt idx="1">
                  <c:v>PPCU PPHU</c:v>
                </c:pt>
                <c:pt idx="2">
                  <c:v>Laboratorium</c:v>
                </c:pt>
                <c:pt idx="3">
                  <c:v>Agri</c:v>
                </c:pt>
                <c:pt idx="4">
                  <c:v>HRGA</c:v>
                </c:pt>
                <c:pt idx="5">
                  <c:v>Sampling</c:v>
                </c:pt>
                <c:pt idx="6">
                  <c:v>Finance</c:v>
                </c:pt>
                <c:pt idx="7">
                  <c:v>Enviro</c:v>
                </c:pt>
                <c:pt idx="8">
                  <c:v>Kalibrasi</c:v>
                </c:pt>
                <c:pt idx="9">
                  <c:v>QAHSE</c:v>
                </c:pt>
              </c:strCache>
            </c:strRef>
          </c:cat>
          <c:val>
            <c:numRef>
              <c:f>Sheet1!$D$2:$D$11</c:f>
              <c:numCache>
                <c:formatCode>General</c:formatCode>
                <c:ptCount val="10"/>
                <c:pt idx="0">
                  <c:v>7</c:v>
                </c:pt>
                <c:pt idx="1">
                  <c:v>6</c:v>
                </c:pt>
                <c:pt idx="2">
                  <c:v>17</c:v>
                </c:pt>
                <c:pt idx="3">
                  <c:v>6</c:v>
                </c:pt>
                <c:pt idx="4">
                  <c:v>11</c:v>
                </c:pt>
                <c:pt idx="5">
                  <c:v>35</c:v>
                </c:pt>
                <c:pt idx="6">
                  <c:v>9</c:v>
                </c:pt>
                <c:pt idx="7">
                  <c:v>14</c:v>
                </c:pt>
                <c:pt idx="8">
                  <c:v>4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6-4AB9-9346-3D3813379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335414472"/>
        <c:axId val="228878512"/>
      </c:barChart>
      <c:catAx>
        <c:axId val="335414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78512"/>
        <c:crosses val="autoZero"/>
        <c:auto val="1"/>
        <c:lblAlgn val="ctr"/>
        <c:lblOffset val="100"/>
        <c:noMultiLvlLbl val="0"/>
      </c:catAx>
      <c:valAx>
        <c:axId val="2288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41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161925</xdr:colOff>
      <xdr:row>7</xdr:row>
      <xdr:rowOff>26823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B8C94E-0E99-414B-8779-5AE589FD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81375" cy="13603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100012</xdr:rowOff>
    </xdr:from>
    <xdr:to>
      <xdr:col>17</xdr:col>
      <xdr:colOff>47625</xdr:colOff>
      <xdr:row>22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4948F5-1402-4A0F-A4F9-10AFE45C3B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3</xdr:row>
      <xdr:rowOff>185737</xdr:rowOff>
    </xdr:from>
    <xdr:to>
      <xdr:col>13</xdr:col>
      <xdr:colOff>0</xdr:colOff>
      <xdr:row>18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A709B-94E2-37B7-2101-C6353A071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inar%20Proposal\Penulisan%20Proposal\hitungan%20trial.xlsx" TargetMode="External"/><Relationship Id="rId1" Type="http://schemas.openxmlformats.org/officeDocument/2006/relationships/externalLinkPath" Target="hitungan%20tr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B1" t="str">
            <v>Kontak Erat</v>
          </cell>
          <cell r="C1" t="str">
            <v>Suspek</v>
          </cell>
          <cell r="D1" t="str">
            <v>Probable</v>
          </cell>
          <cell r="E1" t="str">
            <v>Sembuh</v>
          </cell>
          <cell r="F1" t="str">
            <v>Meninggal</v>
          </cell>
        </row>
        <row r="2">
          <cell r="B2" t="str">
            <v>(jiwa)</v>
          </cell>
          <cell r="C2" t="str">
            <v>(jiwa)</v>
          </cell>
          <cell r="D2" t="str">
            <v>(jiwa)</v>
          </cell>
          <cell r="E2" t="str">
            <v>(jiwa)</v>
          </cell>
          <cell r="F2" t="str">
            <v>(jiwa)</v>
          </cell>
        </row>
        <row r="3">
          <cell r="A3" t="str">
            <v>Kab. Bogor</v>
          </cell>
          <cell r="B3">
            <v>0</v>
          </cell>
          <cell r="C3">
            <v>7799</v>
          </cell>
          <cell r="D3">
            <v>533</v>
          </cell>
          <cell r="E3">
            <v>13431</v>
          </cell>
          <cell r="F3">
            <v>172</v>
          </cell>
        </row>
        <row r="4">
          <cell r="A4" t="str">
            <v>Kab. Sukabumi</v>
          </cell>
          <cell r="B4">
            <v>11007</v>
          </cell>
          <cell r="C4">
            <v>8349</v>
          </cell>
          <cell r="D4">
            <v>409</v>
          </cell>
          <cell r="E4">
            <v>4663</v>
          </cell>
          <cell r="F4">
            <v>34</v>
          </cell>
        </row>
        <row r="5">
          <cell r="A5" t="str">
            <v>Kab. Cianjur</v>
          </cell>
          <cell r="B5">
            <v>3272</v>
          </cell>
          <cell r="C5">
            <v>3030</v>
          </cell>
          <cell r="D5">
            <v>65</v>
          </cell>
          <cell r="E5">
            <v>2838</v>
          </cell>
          <cell r="F5">
            <v>2</v>
          </cell>
        </row>
        <row r="6">
          <cell r="A6" t="str">
            <v>Kab. Bandung</v>
          </cell>
          <cell r="B6">
            <v>27874</v>
          </cell>
          <cell r="C6">
            <v>5270</v>
          </cell>
          <cell r="D6">
            <v>31</v>
          </cell>
          <cell r="E6">
            <v>10583</v>
          </cell>
          <cell r="F6">
            <v>43</v>
          </cell>
        </row>
        <row r="7">
          <cell r="A7" t="str">
            <v>Kab. Garut</v>
          </cell>
          <cell r="B7">
            <v>19810</v>
          </cell>
          <cell r="C7">
            <v>9032</v>
          </cell>
          <cell r="D7">
            <v>0</v>
          </cell>
          <cell r="E7">
            <v>8769</v>
          </cell>
          <cell r="F7">
            <v>143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9:AI152"/>
  <sheetViews>
    <sheetView workbookViewId="0">
      <selection activeCell="A29" sqref="A29"/>
    </sheetView>
  </sheetViews>
  <sheetFormatPr defaultRowHeight="15" x14ac:dyDescent="0.25"/>
  <cols>
    <col min="1" max="1" width="30" customWidth="1"/>
    <col min="5" max="5" width="18.42578125" customWidth="1"/>
  </cols>
  <sheetData>
    <row r="9" spans="1:35" x14ac:dyDescent="0.25">
      <c r="A9" t="s">
        <v>117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 t="s">
        <v>82</v>
      </c>
      <c r="Q9" t="s">
        <v>83</v>
      </c>
      <c r="R9" t="s">
        <v>84</v>
      </c>
      <c r="S9" t="s">
        <v>85</v>
      </c>
      <c r="T9" t="s">
        <v>86</v>
      </c>
      <c r="U9" t="s">
        <v>87</v>
      </c>
      <c r="V9" t="s">
        <v>88</v>
      </c>
      <c r="W9" t="s">
        <v>89</v>
      </c>
      <c r="X9" t="s">
        <v>90</v>
      </c>
      <c r="Y9" t="s">
        <v>91</v>
      </c>
      <c r="Z9" t="s">
        <v>92</v>
      </c>
      <c r="AA9" t="s">
        <v>93</v>
      </c>
      <c r="AB9" t="s">
        <v>94</v>
      </c>
      <c r="AC9" t="s">
        <v>95</v>
      </c>
      <c r="AD9" t="s">
        <v>96</v>
      </c>
      <c r="AE9" t="s">
        <v>97</v>
      </c>
      <c r="AF9" t="s">
        <v>98</v>
      </c>
      <c r="AG9" t="s">
        <v>99</v>
      </c>
      <c r="AH9" t="s">
        <v>100</v>
      </c>
      <c r="AI9" t="s">
        <v>101</v>
      </c>
    </row>
    <row r="10" spans="1:35" x14ac:dyDescent="0.25">
      <c r="A10" t="s">
        <v>118</v>
      </c>
      <c r="B10" t="s">
        <v>119</v>
      </c>
      <c r="C10" t="s">
        <v>120</v>
      </c>
      <c r="D10" t="s">
        <v>121</v>
      </c>
      <c r="E10" t="s">
        <v>122</v>
      </c>
      <c r="F10" t="s">
        <v>104</v>
      </c>
      <c r="G10" t="s">
        <v>104</v>
      </c>
      <c r="H10" t="s">
        <v>104</v>
      </c>
      <c r="I10" t="s">
        <v>104</v>
      </c>
      <c r="J10" t="s">
        <v>104</v>
      </c>
      <c r="K10" t="s">
        <v>104</v>
      </c>
      <c r="L10" t="s">
        <v>103</v>
      </c>
      <c r="M10" t="s">
        <v>106</v>
      </c>
      <c r="N10" t="s">
        <v>104</v>
      </c>
      <c r="O10" t="s">
        <v>106</v>
      </c>
      <c r="P10" t="s">
        <v>103</v>
      </c>
      <c r="Q10" t="s">
        <v>107</v>
      </c>
      <c r="R10" t="s">
        <v>106</v>
      </c>
      <c r="S10" t="s">
        <v>103</v>
      </c>
      <c r="T10" t="s">
        <v>106</v>
      </c>
      <c r="U10" t="s">
        <v>106</v>
      </c>
      <c r="V10" t="s">
        <v>104</v>
      </c>
      <c r="W10" t="s">
        <v>103</v>
      </c>
      <c r="X10" t="s">
        <v>102</v>
      </c>
      <c r="Y10" t="s">
        <v>102</v>
      </c>
      <c r="Z10" t="s">
        <v>104</v>
      </c>
      <c r="AA10" t="s">
        <v>105</v>
      </c>
      <c r="AB10" t="s">
        <v>107</v>
      </c>
      <c r="AC10" t="s">
        <v>102</v>
      </c>
      <c r="AD10" t="s">
        <v>103</v>
      </c>
      <c r="AE10" t="s">
        <v>104</v>
      </c>
      <c r="AF10" t="s">
        <v>106</v>
      </c>
      <c r="AG10" t="s">
        <v>104</v>
      </c>
      <c r="AH10" t="s">
        <v>107</v>
      </c>
      <c r="AI10" t="s">
        <v>106</v>
      </c>
    </row>
    <row r="11" spans="1:35" x14ac:dyDescent="0.25">
      <c r="A11" t="s">
        <v>123</v>
      </c>
      <c r="B11" t="s">
        <v>124</v>
      </c>
      <c r="C11" t="s">
        <v>125</v>
      </c>
      <c r="D11" t="s">
        <v>126</v>
      </c>
      <c r="E11" t="s">
        <v>127</v>
      </c>
      <c r="F11" t="s">
        <v>106</v>
      </c>
      <c r="G11" t="s">
        <v>104</v>
      </c>
      <c r="H11" t="s">
        <v>104</v>
      </c>
      <c r="I11" t="s">
        <v>104</v>
      </c>
      <c r="J11" t="s">
        <v>106</v>
      </c>
      <c r="K11" t="s">
        <v>104</v>
      </c>
      <c r="L11" t="s">
        <v>107</v>
      </c>
      <c r="M11" t="s">
        <v>113</v>
      </c>
      <c r="N11" t="s">
        <v>107</v>
      </c>
      <c r="O11" t="s">
        <v>104</v>
      </c>
      <c r="P11" t="s">
        <v>107</v>
      </c>
      <c r="Q11" t="s">
        <v>104</v>
      </c>
      <c r="R11" t="s">
        <v>104</v>
      </c>
      <c r="S11" t="s">
        <v>106</v>
      </c>
      <c r="T11" t="s">
        <v>104</v>
      </c>
      <c r="U11" t="s">
        <v>107</v>
      </c>
      <c r="V11" t="s">
        <v>107</v>
      </c>
      <c r="W11" t="s">
        <v>104</v>
      </c>
      <c r="X11" t="s">
        <v>104</v>
      </c>
      <c r="Y11" t="s">
        <v>103</v>
      </c>
      <c r="Z11" t="s">
        <v>104</v>
      </c>
      <c r="AA11" t="s">
        <v>104</v>
      </c>
      <c r="AB11" t="s">
        <v>106</v>
      </c>
      <c r="AC11" t="s">
        <v>106</v>
      </c>
      <c r="AD11" t="s">
        <v>103</v>
      </c>
      <c r="AE11" t="s">
        <v>106</v>
      </c>
      <c r="AF11" t="s">
        <v>106</v>
      </c>
      <c r="AG11" t="s">
        <v>103</v>
      </c>
      <c r="AH11" t="s">
        <v>107</v>
      </c>
      <c r="AI11" t="s">
        <v>103</v>
      </c>
    </row>
    <row r="12" spans="1:35" x14ac:dyDescent="0.25">
      <c r="A12" t="s">
        <v>128</v>
      </c>
      <c r="B12" t="s">
        <v>129</v>
      </c>
      <c r="C12" t="s">
        <v>130</v>
      </c>
      <c r="D12" t="s">
        <v>131</v>
      </c>
      <c r="E12" t="s">
        <v>132</v>
      </c>
      <c r="F12" t="s">
        <v>103</v>
      </c>
      <c r="G12" t="s">
        <v>102</v>
      </c>
      <c r="H12" t="s">
        <v>102</v>
      </c>
      <c r="I12" t="s">
        <v>103</v>
      </c>
      <c r="J12" t="s">
        <v>102</v>
      </c>
      <c r="K12" t="s">
        <v>106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106</v>
      </c>
      <c r="R12" t="s">
        <v>103</v>
      </c>
      <c r="S12" t="s">
        <v>106</v>
      </c>
      <c r="T12" t="s">
        <v>108</v>
      </c>
      <c r="U12" t="s">
        <v>104</v>
      </c>
      <c r="V12" t="s">
        <v>103</v>
      </c>
      <c r="W12" t="s">
        <v>102</v>
      </c>
      <c r="X12" t="s">
        <v>104</v>
      </c>
      <c r="Y12" t="s">
        <v>104</v>
      </c>
      <c r="Z12" t="s">
        <v>104</v>
      </c>
      <c r="AA12" t="s">
        <v>102</v>
      </c>
      <c r="AB12" t="s">
        <v>102</v>
      </c>
      <c r="AC12" t="s">
        <v>114</v>
      </c>
      <c r="AD12" t="s">
        <v>102</v>
      </c>
      <c r="AE12" t="s">
        <v>104</v>
      </c>
      <c r="AF12" t="s">
        <v>102</v>
      </c>
      <c r="AG12" t="s">
        <v>102</v>
      </c>
      <c r="AH12" t="s">
        <v>103</v>
      </c>
      <c r="AI12" t="s">
        <v>102</v>
      </c>
    </row>
    <row r="13" spans="1:35" x14ac:dyDescent="0.25">
      <c r="A13" t="s">
        <v>133</v>
      </c>
      <c r="B13" t="s">
        <v>134</v>
      </c>
      <c r="C13" t="s">
        <v>135</v>
      </c>
      <c r="D13" t="s">
        <v>136</v>
      </c>
      <c r="E13" t="s">
        <v>137</v>
      </c>
      <c r="F13" t="s">
        <v>103</v>
      </c>
      <c r="G13" t="s">
        <v>102</v>
      </c>
      <c r="H13" t="s">
        <v>108</v>
      </c>
      <c r="I13" t="s">
        <v>106</v>
      </c>
      <c r="J13" t="s">
        <v>103</v>
      </c>
      <c r="K13" t="s">
        <v>105</v>
      </c>
      <c r="L13" t="s">
        <v>102</v>
      </c>
      <c r="M13" t="s">
        <v>102</v>
      </c>
      <c r="N13" t="s">
        <v>103</v>
      </c>
      <c r="O13" t="s">
        <v>107</v>
      </c>
      <c r="P13" t="s">
        <v>102</v>
      </c>
      <c r="Q13" t="s">
        <v>105</v>
      </c>
      <c r="R13" t="s">
        <v>102</v>
      </c>
      <c r="S13" t="s">
        <v>103</v>
      </c>
      <c r="T13" t="s">
        <v>108</v>
      </c>
      <c r="U13" t="s">
        <v>107</v>
      </c>
      <c r="V13" t="s">
        <v>102</v>
      </c>
      <c r="W13" t="s">
        <v>108</v>
      </c>
      <c r="X13" t="s">
        <v>103</v>
      </c>
      <c r="Y13" t="s">
        <v>102</v>
      </c>
      <c r="Z13" t="s">
        <v>107</v>
      </c>
      <c r="AA13" t="s">
        <v>107</v>
      </c>
      <c r="AB13" t="s">
        <v>103</v>
      </c>
      <c r="AC13" t="s">
        <v>108</v>
      </c>
      <c r="AD13" t="s">
        <v>102</v>
      </c>
      <c r="AE13" t="s">
        <v>104</v>
      </c>
      <c r="AF13" t="s">
        <v>104</v>
      </c>
      <c r="AG13" t="s">
        <v>103</v>
      </c>
      <c r="AH13" t="s">
        <v>102</v>
      </c>
      <c r="AI13" t="s">
        <v>108</v>
      </c>
    </row>
    <row r="14" spans="1:35" x14ac:dyDescent="0.25">
      <c r="A14" t="s">
        <v>138</v>
      </c>
      <c r="B14" t="s">
        <v>139</v>
      </c>
      <c r="C14" t="s">
        <v>140</v>
      </c>
      <c r="D14" t="s">
        <v>141</v>
      </c>
      <c r="E14" t="s">
        <v>142</v>
      </c>
      <c r="F14" t="s">
        <v>113</v>
      </c>
      <c r="G14" t="s">
        <v>104</v>
      </c>
      <c r="H14" t="s">
        <v>108</v>
      </c>
      <c r="I14" t="s">
        <v>104</v>
      </c>
      <c r="J14" t="s">
        <v>102</v>
      </c>
      <c r="K14" t="s">
        <v>107</v>
      </c>
      <c r="L14" t="s">
        <v>102</v>
      </c>
      <c r="M14" t="s">
        <v>102</v>
      </c>
      <c r="N14" t="s">
        <v>103</v>
      </c>
      <c r="O14" t="s">
        <v>104</v>
      </c>
      <c r="P14" t="s">
        <v>102</v>
      </c>
      <c r="Q14" t="s">
        <v>107</v>
      </c>
      <c r="R14" t="s">
        <v>103</v>
      </c>
      <c r="S14" t="s">
        <v>103</v>
      </c>
      <c r="T14" t="s">
        <v>104</v>
      </c>
      <c r="U14" t="s">
        <v>104</v>
      </c>
      <c r="V14" t="s">
        <v>102</v>
      </c>
      <c r="W14" t="s">
        <v>103</v>
      </c>
      <c r="X14" t="s">
        <v>103</v>
      </c>
      <c r="Y14" t="s">
        <v>103</v>
      </c>
      <c r="Z14" t="s">
        <v>104</v>
      </c>
      <c r="AA14" t="s">
        <v>107</v>
      </c>
      <c r="AB14" t="s">
        <v>106</v>
      </c>
      <c r="AC14" t="s">
        <v>108</v>
      </c>
      <c r="AD14" t="s">
        <v>103</v>
      </c>
      <c r="AE14" t="s">
        <v>104</v>
      </c>
      <c r="AF14" t="s">
        <v>106</v>
      </c>
      <c r="AG14" t="s">
        <v>106</v>
      </c>
      <c r="AH14" t="s">
        <v>103</v>
      </c>
      <c r="AI14" t="s">
        <v>104</v>
      </c>
    </row>
    <row r="15" spans="1:35" x14ac:dyDescent="0.25">
      <c r="A15" t="s">
        <v>143</v>
      </c>
      <c r="B15" t="s">
        <v>144</v>
      </c>
      <c r="C15" t="s">
        <v>145</v>
      </c>
      <c r="D15" t="s">
        <v>146</v>
      </c>
      <c r="E15" t="s">
        <v>147</v>
      </c>
      <c r="F15" t="s">
        <v>102</v>
      </c>
      <c r="G15" t="s">
        <v>102</v>
      </c>
      <c r="H15" t="s">
        <v>102</v>
      </c>
      <c r="I15" t="s">
        <v>102</v>
      </c>
      <c r="J15" t="s">
        <v>103</v>
      </c>
      <c r="K15" t="s">
        <v>103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104</v>
      </c>
      <c r="R15" t="s">
        <v>102</v>
      </c>
      <c r="S15" t="s">
        <v>102</v>
      </c>
      <c r="T15" t="s">
        <v>102</v>
      </c>
      <c r="U15" t="s">
        <v>102</v>
      </c>
      <c r="V15" t="s">
        <v>104</v>
      </c>
      <c r="W15" t="s">
        <v>104</v>
      </c>
      <c r="X15" t="s">
        <v>102</v>
      </c>
      <c r="Y15" t="s">
        <v>106</v>
      </c>
      <c r="Z15" t="s">
        <v>103</v>
      </c>
      <c r="AA15" t="s">
        <v>102</v>
      </c>
      <c r="AB15" t="s">
        <v>105</v>
      </c>
      <c r="AC15" t="s">
        <v>106</v>
      </c>
      <c r="AD15" t="s">
        <v>102</v>
      </c>
      <c r="AE15" t="s">
        <v>103</v>
      </c>
      <c r="AF15" t="s">
        <v>102</v>
      </c>
      <c r="AG15" t="s">
        <v>102</v>
      </c>
      <c r="AH15" t="s">
        <v>105</v>
      </c>
      <c r="AI15" t="s">
        <v>102</v>
      </c>
    </row>
    <row r="16" spans="1:35" x14ac:dyDescent="0.25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102</v>
      </c>
      <c r="G16" t="s">
        <v>106</v>
      </c>
      <c r="H16" t="s">
        <v>103</v>
      </c>
      <c r="I16" t="s">
        <v>103</v>
      </c>
      <c r="J16" t="s">
        <v>103</v>
      </c>
      <c r="K16" t="s">
        <v>106</v>
      </c>
      <c r="L16" t="s">
        <v>103</v>
      </c>
      <c r="M16" t="s">
        <v>103</v>
      </c>
      <c r="N16" t="s">
        <v>103</v>
      </c>
      <c r="O16" t="s">
        <v>103</v>
      </c>
      <c r="P16" t="s">
        <v>106</v>
      </c>
      <c r="Q16" t="s">
        <v>107</v>
      </c>
      <c r="R16" t="s">
        <v>107</v>
      </c>
      <c r="S16" t="s">
        <v>106</v>
      </c>
      <c r="T16" t="s">
        <v>103</v>
      </c>
      <c r="U16" t="s">
        <v>104</v>
      </c>
      <c r="V16" t="s">
        <v>103</v>
      </c>
      <c r="W16" t="s">
        <v>104</v>
      </c>
      <c r="X16" t="s">
        <v>103</v>
      </c>
      <c r="Y16" t="s">
        <v>104</v>
      </c>
      <c r="Z16" t="s">
        <v>104</v>
      </c>
      <c r="AA16" t="s">
        <v>104</v>
      </c>
      <c r="AB16" t="s">
        <v>106</v>
      </c>
      <c r="AC16" t="s">
        <v>104</v>
      </c>
      <c r="AD16" t="s">
        <v>103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</row>
    <row r="17" spans="1:35" x14ac:dyDescent="0.25">
      <c r="A17" t="s">
        <v>153</v>
      </c>
      <c r="B17" t="s">
        <v>154</v>
      </c>
      <c r="C17" t="s">
        <v>155</v>
      </c>
      <c r="D17" t="s">
        <v>156</v>
      </c>
      <c r="E17" t="s">
        <v>127</v>
      </c>
      <c r="F17" t="s">
        <v>102</v>
      </c>
      <c r="G17" t="s">
        <v>104</v>
      </c>
      <c r="H17" t="s">
        <v>108</v>
      </c>
      <c r="I17" t="s">
        <v>102</v>
      </c>
      <c r="J17" t="s">
        <v>102</v>
      </c>
      <c r="K17" t="s">
        <v>108</v>
      </c>
      <c r="L17" t="s">
        <v>104</v>
      </c>
      <c r="M17" t="s">
        <v>105</v>
      </c>
      <c r="N17" t="s">
        <v>107</v>
      </c>
      <c r="O17" t="s">
        <v>107</v>
      </c>
      <c r="P17" t="s">
        <v>102</v>
      </c>
      <c r="Q17" t="s">
        <v>105</v>
      </c>
      <c r="R17" t="s">
        <v>104</v>
      </c>
      <c r="S17" t="s">
        <v>102</v>
      </c>
      <c r="T17" t="s">
        <v>108</v>
      </c>
      <c r="U17" t="s">
        <v>105</v>
      </c>
      <c r="V17" t="s">
        <v>102</v>
      </c>
      <c r="W17" t="s">
        <v>104</v>
      </c>
      <c r="X17" t="s">
        <v>102</v>
      </c>
      <c r="Y17" t="s">
        <v>108</v>
      </c>
      <c r="Z17" t="s">
        <v>105</v>
      </c>
      <c r="AA17" t="s">
        <v>104</v>
      </c>
      <c r="AB17" t="s">
        <v>102</v>
      </c>
      <c r="AC17" t="s">
        <v>105</v>
      </c>
      <c r="AD17" t="s">
        <v>102</v>
      </c>
      <c r="AE17" t="s">
        <v>107</v>
      </c>
      <c r="AF17" t="s">
        <v>105</v>
      </c>
      <c r="AG17" t="s">
        <v>102</v>
      </c>
      <c r="AH17" t="s">
        <v>102</v>
      </c>
      <c r="AI17" t="s">
        <v>105</v>
      </c>
    </row>
    <row r="18" spans="1:35" x14ac:dyDescent="0.25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104</v>
      </c>
      <c r="G18" t="s">
        <v>106</v>
      </c>
      <c r="H18" t="s">
        <v>103</v>
      </c>
      <c r="I18" t="s">
        <v>103</v>
      </c>
      <c r="J18" t="s">
        <v>103</v>
      </c>
      <c r="K18" t="s">
        <v>104</v>
      </c>
      <c r="L18" t="s">
        <v>103</v>
      </c>
      <c r="M18" t="s">
        <v>103</v>
      </c>
      <c r="N18" t="s">
        <v>103</v>
      </c>
      <c r="O18" t="s">
        <v>106</v>
      </c>
      <c r="P18" t="s">
        <v>106</v>
      </c>
      <c r="Q18" t="s">
        <v>104</v>
      </c>
      <c r="R18" t="s">
        <v>103</v>
      </c>
      <c r="S18" t="s">
        <v>103</v>
      </c>
      <c r="T18" t="s">
        <v>106</v>
      </c>
      <c r="U18" t="s">
        <v>106</v>
      </c>
      <c r="V18" t="s">
        <v>103</v>
      </c>
      <c r="W18" t="s">
        <v>104</v>
      </c>
      <c r="X18" t="s">
        <v>106</v>
      </c>
      <c r="Y18" t="s">
        <v>104</v>
      </c>
      <c r="Z18" t="s">
        <v>104</v>
      </c>
      <c r="AA18" t="s">
        <v>104</v>
      </c>
      <c r="AB18" t="s">
        <v>103</v>
      </c>
      <c r="AC18" t="s">
        <v>104</v>
      </c>
      <c r="AD18" t="s">
        <v>106</v>
      </c>
      <c r="AE18" t="s">
        <v>104</v>
      </c>
      <c r="AF18" t="s">
        <v>103</v>
      </c>
      <c r="AG18" t="s">
        <v>103</v>
      </c>
      <c r="AH18" t="s">
        <v>106</v>
      </c>
      <c r="AI18" t="s">
        <v>104</v>
      </c>
    </row>
    <row r="19" spans="1:35" x14ac:dyDescent="0.25">
      <c r="A19" t="s">
        <v>162</v>
      </c>
      <c r="B19" t="s">
        <v>163</v>
      </c>
      <c r="C19" t="s">
        <v>164</v>
      </c>
      <c r="D19" t="s">
        <v>165</v>
      </c>
      <c r="E19" t="s">
        <v>137</v>
      </c>
      <c r="F19" t="s">
        <v>103</v>
      </c>
      <c r="G19" t="s">
        <v>106</v>
      </c>
      <c r="H19" t="s">
        <v>106</v>
      </c>
      <c r="I19" t="s">
        <v>102</v>
      </c>
      <c r="J19" t="s">
        <v>104</v>
      </c>
      <c r="K19" t="s">
        <v>103</v>
      </c>
      <c r="L19" t="s">
        <v>106</v>
      </c>
      <c r="M19" t="s">
        <v>102</v>
      </c>
      <c r="N19" t="s">
        <v>104</v>
      </c>
      <c r="O19" t="s">
        <v>103</v>
      </c>
      <c r="P19" t="s">
        <v>102</v>
      </c>
      <c r="Q19" t="s">
        <v>102</v>
      </c>
      <c r="R19" t="s">
        <v>106</v>
      </c>
      <c r="S19" t="s">
        <v>102</v>
      </c>
      <c r="T19" t="s">
        <v>103</v>
      </c>
      <c r="U19" t="s">
        <v>103</v>
      </c>
      <c r="V19" t="s">
        <v>109</v>
      </c>
      <c r="W19" t="s">
        <v>103</v>
      </c>
      <c r="X19" t="s">
        <v>104</v>
      </c>
      <c r="Y19" t="s">
        <v>110</v>
      </c>
      <c r="Z19" t="s">
        <v>103</v>
      </c>
      <c r="AA19" t="s">
        <v>103</v>
      </c>
      <c r="AB19" t="s">
        <v>103</v>
      </c>
      <c r="AC19" t="s">
        <v>103</v>
      </c>
      <c r="AD19" t="s">
        <v>103</v>
      </c>
      <c r="AE19" t="s">
        <v>104</v>
      </c>
      <c r="AF19" t="s">
        <v>103</v>
      </c>
      <c r="AG19" t="s">
        <v>107</v>
      </c>
      <c r="AH19" t="s">
        <v>104</v>
      </c>
      <c r="AI19" t="s">
        <v>106</v>
      </c>
    </row>
    <row r="20" spans="1:35" x14ac:dyDescent="0.25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103</v>
      </c>
      <c r="G20" t="s">
        <v>102</v>
      </c>
      <c r="H20" t="s">
        <v>103</v>
      </c>
      <c r="I20" t="s">
        <v>103</v>
      </c>
      <c r="J20" t="s">
        <v>105</v>
      </c>
      <c r="K20" t="s">
        <v>103</v>
      </c>
      <c r="L20" t="s">
        <v>102</v>
      </c>
      <c r="M20" t="s">
        <v>103</v>
      </c>
      <c r="N20" t="s">
        <v>103</v>
      </c>
      <c r="O20" t="s">
        <v>103</v>
      </c>
      <c r="P20" t="s">
        <v>105</v>
      </c>
      <c r="Q20" t="s">
        <v>103</v>
      </c>
      <c r="R20" t="s">
        <v>103</v>
      </c>
      <c r="S20" t="s">
        <v>103</v>
      </c>
      <c r="T20" t="s">
        <v>103</v>
      </c>
      <c r="U20" t="s">
        <v>107</v>
      </c>
      <c r="V20" t="s">
        <v>107</v>
      </c>
      <c r="W20" t="s">
        <v>103</v>
      </c>
      <c r="X20" t="s">
        <v>102</v>
      </c>
      <c r="Y20" t="s">
        <v>103</v>
      </c>
      <c r="Z20" t="s">
        <v>103</v>
      </c>
      <c r="AA20" t="s">
        <v>103</v>
      </c>
      <c r="AB20" t="s">
        <v>105</v>
      </c>
      <c r="AC20" t="s">
        <v>103</v>
      </c>
      <c r="AD20" t="s">
        <v>102</v>
      </c>
      <c r="AE20" t="s">
        <v>103</v>
      </c>
      <c r="AF20" t="s">
        <v>104</v>
      </c>
      <c r="AG20" t="s">
        <v>103</v>
      </c>
      <c r="AH20" t="s">
        <v>108</v>
      </c>
      <c r="AI20" t="s">
        <v>103</v>
      </c>
    </row>
    <row r="21" spans="1:35" x14ac:dyDescent="0.25">
      <c r="A21" t="s">
        <v>171</v>
      </c>
      <c r="B21" t="s">
        <v>172</v>
      </c>
      <c r="C21" t="s">
        <v>173</v>
      </c>
      <c r="D21" t="s">
        <v>174</v>
      </c>
      <c r="E21" t="s">
        <v>137</v>
      </c>
      <c r="F21" t="s">
        <v>103</v>
      </c>
      <c r="G21" t="s">
        <v>102</v>
      </c>
      <c r="H21" t="s">
        <v>104</v>
      </c>
      <c r="I21" t="s">
        <v>106</v>
      </c>
      <c r="J21" t="s">
        <v>106</v>
      </c>
      <c r="K21" t="s">
        <v>107</v>
      </c>
      <c r="L21" t="s">
        <v>102</v>
      </c>
      <c r="M21" t="s">
        <v>102</v>
      </c>
      <c r="N21" t="s">
        <v>103</v>
      </c>
      <c r="O21" t="s">
        <v>104</v>
      </c>
      <c r="P21" t="s">
        <v>102</v>
      </c>
      <c r="Q21" t="s">
        <v>104</v>
      </c>
      <c r="R21" t="s">
        <v>102</v>
      </c>
      <c r="S21" t="s">
        <v>102</v>
      </c>
      <c r="T21" t="s">
        <v>103</v>
      </c>
      <c r="U21" t="s">
        <v>103</v>
      </c>
      <c r="V21" t="s">
        <v>102</v>
      </c>
      <c r="W21" t="s">
        <v>104</v>
      </c>
      <c r="X21" t="s">
        <v>102</v>
      </c>
      <c r="Y21" t="s">
        <v>102</v>
      </c>
      <c r="Z21" t="s">
        <v>103</v>
      </c>
      <c r="AA21" t="s">
        <v>105</v>
      </c>
      <c r="AB21" t="s">
        <v>102</v>
      </c>
      <c r="AC21" t="s">
        <v>102</v>
      </c>
      <c r="AD21" t="s">
        <v>102</v>
      </c>
      <c r="AE21" t="s">
        <v>103</v>
      </c>
      <c r="AF21" t="s">
        <v>104</v>
      </c>
      <c r="AG21" t="s">
        <v>106</v>
      </c>
      <c r="AH21" t="s">
        <v>103</v>
      </c>
      <c r="AI21" t="s">
        <v>103</v>
      </c>
    </row>
    <row r="22" spans="1:35" x14ac:dyDescent="0.25">
      <c r="A22" t="s">
        <v>175</v>
      </c>
      <c r="B22" t="s">
        <v>176</v>
      </c>
      <c r="C22" t="s">
        <v>177</v>
      </c>
      <c r="D22" t="s">
        <v>178</v>
      </c>
      <c r="E22" t="s">
        <v>179</v>
      </c>
      <c r="F22" t="s">
        <v>102</v>
      </c>
      <c r="G22" t="s">
        <v>102</v>
      </c>
      <c r="H22" t="s">
        <v>102</v>
      </c>
      <c r="I22" t="s">
        <v>102</v>
      </c>
      <c r="J22" t="s">
        <v>104</v>
      </c>
      <c r="K22" t="s">
        <v>106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104</v>
      </c>
      <c r="Z22" t="s">
        <v>103</v>
      </c>
      <c r="AA22" t="s">
        <v>104</v>
      </c>
      <c r="AB22" t="s">
        <v>107</v>
      </c>
      <c r="AC22" t="s">
        <v>102</v>
      </c>
      <c r="AD22" t="s">
        <v>102</v>
      </c>
      <c r="AE22" t="s">
        <v>102</v>
      </c>
      <c r="AF22" t="s">
        <v>102</v>
      </c>
      <c r="AG22" t="s">
        <v>102</v>
      </c>
      <c r="AH22" t="s">
        <v>104</v>
      </c>
      <c r="AI22" t="s">
        <v>102</v>
      </c>
    </row>
    <row r="23" spans="1:35" x14ac:dyDescent="0.25">
      <c r="A23" t="s">
        <v>180</v>
      </c>
      <c r="B23" t="s">
        <v>181</v>
      </c>
      <c r="C23" t="s">
        <v>182</v>
      </c>
      <c r="D23" t="s">
        <v>183</v>
      </c>
      <c r="E23" t="s">
        <v>184</v>
      </c>
      <c r="F23" t="s">
        <v>106</v>
      </c>
      <c r="G23" t="s">
        <v>106</v>
      </c>
      <c r="H23" t="s">
        <v>102</v>
      </c>
      <c r="I23" t="s">
        <v>104</v>
      </c>
      <c r="J23" t="s">
        <v>104</v>
      </c>
      <c r="K23" t="s">
        <v>103</v>
      </c>
      <c r="L23" t="s">
        <v>104</v>
      </c>
      <c r="M23" t="s">
        <v>103</v>
      </c>
      <c r="N23" t="s">
        <v>103</v>
      </c>
      <c r="O23" t="s">
        <v>104</v>
      </c>
      <c r="P23" t="s">
        <v>106</v>
      </c>
      <c r="Q23" t="s">
        <v>104</v>
      </c>
      <c r="R23" t="s">
        <v>102</v>
      </c>
      <c r="S23" t="s">
        <v>103</v>
      </c>
      <c r="T23" t="s">
        <v>103</v>
      </c>
      <c r="U23" t="s">
        <v>106</v>
      </c>
      <c r="V23" t="s">
        <v>104</v>
      </c>
      <c r="W23" t="s">
        <v>102</v>
      </c>
      <c r="X23" t="s">
        <v>103</v>
      </c>
      <c r="Y23" t="s">
        <v>103</v>
      </c>
      <c r="Z23" t="s">
        <v>106</v>
      </c>
      <c r="AA23" t="s">
        <v>106</v>
      </c>
      <c r="AB23" t="s">
        <v>104</v>
      </c>
      <c r="AC23" t="s">
        <v>103</v>
      </c>
      <c r="AD23" t="s">
        <v>103</v>
      </c>
      <c r="AE23" t="s">
        <v>106</v>
      </c>
      <c r="AF23" t="s">
        <v>103</v>
      </c>
      <c r="AG23" t="s">
        <v>106</v>
      </c>
      <c r="AH23" t="s">
        <v>104</v>
      </c>
      <c r="AI23" t="s">
        <v>103</v>
      </c>
    </row>
    <row r="24" spans="1:35" x14ac:dyDescent="0.25">
      <c r="A24" t="s">
        <v>185</v>
      </c>
      <c r="B24" t="s">
        <v>186</v>
      </c>
      <c r="C24" t="s">
        <v>187</v>
      </c>
      <c r="D24" t="s">
        <v>174</v>
      </c>
      <c r="E24" t="s">
        <v>137</v>
      </c>
      <c r="F24" t="s">
        <v>104</v>
      </c>
      <c r="G24" t="s">
        <v>104</v>
      </c>
      <c r="H24" t="s">
        <v>115</v>
      </c>
      <c r="I24" t="s">
        <v>104</v>
      </c>
      <c r="J24" t="s">
        <v>104</v>
      </c>
      <c r="K24" t="s">
        <v>105</v>
      </c>
      <c r="L24" t="s">
        <v>108</v>
      </c>
      <c r="M24" t="s">
        <v>102</v>
      </c>
      <c r="N24" t="s">
        <v>103</v>
      </c>
      <c r="O24" t="s">
        <v>111</v>
      </c>
      <c r="P24" t="s">
        <v>105</v>
      </c>
      <c r="Q24" t="s">
        <v>105</v>
      </c>
      <c r="R24" t="s">
        <v>102</v>
      </c>
      <c r="S24" t="s">
        <v>102</v>
      </c>
      <c r="T24" t="s">
        <v>105</v>
      </c>
      <c r="U24" t="s">
        <v>103</v>
      </c>
      <c r="V24" t="s">
        <v>104</v>
      </c>
      <c r="W24" t="s">
        <v>105</v>
      </c>
      <c r="X24" t="s">
        <v>102</v>
      </c>
      <c r="Y24" t="s">
        <v>102</v>
      </c>
      <c r="Z24" t="s">
        <v>188</v>
      </c>
      <c r="AA24" t="s">
        <v>104</v>
      </c>
      <c r="AB24" t="s">
        <v>189</v>
      </c>
      <c r="AC24" t="s">
        <v>108</v>
      </c>
      <c r="AD24" t="s">
        <v>103</v>
      </c>
      <c r="AE24" t="s">
        <v>104</v>
      </c>
      <c r="AF24" t="s">
        <v>189</v>
      </c>
      <c r="AG24" t="s">
        <v>102</v>
      </c>
      <c r="AH24" t="s">
        <v>115</v>
      </c>
      <c r="AI24" t="s">
        <v>107</v>
      </c>
    </row>
    <row r="25" spans="1:35" x14ac:dyDescent="0.25">
      <c r="A25" t="s">
        <v>190</v>
      </c>
      <c r="B25" t="s">
        <v>191</v>
      </c>
      <c r="C25" t="s">
        <v>192</v>
      </c>
      <c r="D25" t="s">
        <v>193</v>
      </c>
      <c r="E25" t="s">
        <v>194</v>
      </c>
      <c r="F25" t="s">
        <v>103</v>
      </c>
      <c r="G25" t="s">
        <v>102</v>
      </c>
      <c r="H25" t="s">
        <v>106</v>
      </c>
      <c r="I25" t="s">
        <v>102</v>
      </c>
      <c r="J25" t="s">
        <v>102</v>
      </c>
      <c r="K25" t="s">
        <v>107</v>
      </c>
      <c r="L25" t="s">
        <v>102</v>
      </c>
      <c r="M25" t="s">
        <v>103</v>
      </c>
      <c r="N25" t="s">
        <v>102</v>
      </c>
      <c r="O25" t="s">
        <v>106</v>
      </c>
      <c r="P25" t="s">
        <v>102</v>
      </c>
      <c r="Q25" t="s">
        <v>104</v>
      </c>
      <c r="R25" t="s">
        <v>103</v>
      </c>
      <c r="S25" t="s">
        <v>102</v>
      </c>
      <c r="T25" t="s">
        <v>104</v>
      </c>
      <c r="U25" t="s">
        <v>102</v>
      </c>
      <c r="V25" t="s">
        <v>102</v>
      </c>
      <c r="W25" t="s">
        <v>104</v>
      </c>
      <c r="X25" t="s">
        <v>106</v>
      </c>
      <c r="Y25" t="s">
        <v>102</v>
      </c>
      <c r="Z25" t="s">
        <v>103</v>
      </c>
      <c r="AA25" t="s">
        <v>104</v>
      </c>
      <c r="AB25" t="s">
        <v>102</v>
      </c>
      <c r="AC25" t="s">
        <v>106</v>
      </c>
      <c r="AD25" t="s">
        <v>102</v>
      </c>
      <c r="AE25" t="s">
        <v>108</v>
      </c>
      <c r="AF25" t="s">
        <v>102</v>
      </c>
      <c r="AG25" t="s">
        <v>106</v>
      </c>
      <c r="AH25" t="s">
        <v>102</v>
      </c>
      <c r="AI25" t="s">
        <v>106</v>
      </c>
    </row>
    <row r="26" spans="1:35" x14ac:dyDescent="0.25">
      <c r="A26" t="s">
        <v>195</v>
      </c>
      <c r="B26" t="s">
        <v>196</v>
      </c>
      <c r="C26" t="s">
        <v>197</v>
      </c>
      <c r="D26" t="s">
        <v>198</v>
      </c>
      <c r="E26" t="s">
        <v>137</v>
      </c>
      <c r="F26" t="s">
        <v>113</v>
      </c>
      <c r="G26" t="s">
        <v>102</v>
      </c>
      <c r="H26" t="s">
        <v>103</v>
      </c>
      <c r="I26" t="s">
        <v>102</v>
      </c>
      <c r="J26" t="s">
        <v>106</v>
      </c>
      <c r="K26" t="s">
        <v>107</v>
      </c>
      <c r="L26" t="s">
        <v>111</v>
      </c>
      <c r="M26" t="s">
        <v>102</v>
      </c>
      <c r="N26" t="s">
        <v>102</v>
      </c>
      <c r="O26" t="s">
        <v>102</v>
      </c>
      <c r="P26" t="s">
        <v>102</v>
      </c>
      <c r="Q26" t="s">
        <v>107</v>
      </c>
      <c r="R26" t="s">
        <v>102</v>
      </c>
      <c r="S26" t="s">
        <v>102</v>
      </c>
      <c r="T26" t="s">
        <v>106</v>
      </c>
      <c r="U26" t="s">
        <v>102</v>
      </c>
      <c r="V26" t="s">
        <v>102</v>
      </c>
      <c r="W26" t="s">
        <v>108</v>
      </c>
      <c r="X26" t="s">
        <v>102</v>
      </c>
      <c r="Y26" t="s">
        <v>107</v>
      </c>
      <c r="Z26" t="s">
        <v>104</v>
      </c>
      <c r="AA26" t="s">
        <v>114</v>
      </c>
      <c r="AB26" t="s">
        <v>106</v>
      </c>
      <c r="AC26" t="s">
        <v>103</v>
      </c>
      <c r="AD26" t="s">
        <v>102</v>
      </c>
      <c r="AE26" t="s">
        <v>106</v>
      </c>
      <c r="AF26" t="s">
        <v>103</v>
      </c>
      <c r="AG26" t="s">
        <v>102</v>
      </c>
      <c r="AH26" t="s">
        <v>104</v>
      </c>
      <c r="AI26" t="s">
        <v>111</v>
      </c>
    </row>
    <row r="27" spans="1:35" x14ac:dyDescent="0.25">
      <c r="A27" t="s">
        <v>199</v>
      </c>
      <c r="B27" t="s">
        <v>200</v>
      </c>
      <c r="C27" t="s">
        <v>201</v>
      </c>
      <c r="D27" t="s">
        <v>202</v>
      </c>
      <c r="E27" t="s">
        <v>203</v>
      </c>
      <c r="F27" t="s">
        <v>103</v>
      </c>
      <c r="G27" t="s">
        <v>106</v>
      </c>
      <c r="H27" t="s">
        <v>102</v>
      </c>
      <c r="I27" t="s">
        <v>102</v>
      </c>
      <c r="J27" t="s">
        <v>102</v>
      </c>
      <c r="K27" t="s">
        <v>104</v>
      </c>
      <c r="L27" t="s">
        <v>102</v>
      </c>
      <c r="M27" t="s">
        <v>106</v>
      </c>
      <c r="N27" t="s">
        <v>102</v>
      </c>
      <c r="O27" t="s">
        <v>106</v>
      </c>
      <c r="P27" t="s">
        <v>102</v>
      </c>
      <c r="Q27" t="s">
        <v>102</v>
      </c>
      <c r="R27" t="s">
        <v>102</v>
      </c>
      <c r="S27" t="s">
        <v>102</v>
      </c>
      <c r="T27" t="s">
        <v>103</v>
      </c>
      <c r="U27" t="s">
        <v>102</v>
      </c>
      <c r="V27" t="s">
        <v>102</v>
      </c>
      <c r="W27" t="s">
        <v>102</v>
      </c>
      <c r="X27" t="s">
        <v>103</v>
      </c>
      <c r="Y27" t="s">
        <v>102</v>
      </c>
      <c r="Z27" t="s">
        <v>102</v>
      </c>
      <c r="AA27" t="s">
        <v>103</v>
      </c>
      <c r="AB27" t="s">
        <v>103</v>
      </c>
      <c r="AC27" t="s">
        <v>103</v>
      </c>
      <c r="AD27" t="s">
        <v>103</v>
      </c>
      <c r="AE27" t="s">
        <v>102</v>
      </c>
      <c r="AF27" t="s">
        <v>106</v>
      </c>
      <c r="AG27" t="s">
        <v>103</v>
      </c>
      <c r="AH27" t="s">
        <v>107</v>
      </c>
      <c r="AI27" t="s">
        <v>103</v>
      </c>
    </row>
    <row r="28" spans="1:35" x14ac:dyDescent="0.25">
      <c r="A28" t="s">
        <v>204</v>
      </c>
      <c r="B28" t="s">
        <v>205</v>
      </c>
      <c r="C28" t="s">
        <v>206</v>
      </c>
      <c r="D28" t="s">
        <v>207</v>
      </c>
      <c r="E28" t="s">
        <v>137</v>
      </c>
      <c r="F28" t="s">
        <v>104</v>
      </c>
      <c r="G28" t="s">
        <v>102</v>
      </c>
      <c r="H28" t="s">
        <v>107</v>
      </c>
      <c r="I28" t="s">
        <v>106</v>
      </c>
      <c r="J28" t="s">
        <v>103</v>
      </c>
      <c r="K28" t="s">
        <v>107</v>
      </c>
      <c r="L28" t="s">
        <v>102</v>
      </c>
      <c r="M28" t="s">
        <v>103</v>
      </c>
      <c r="N28" t="s">
        <v>102</v>
      </c>
      <c r="O28" t="s">
        <v>103</v>
      </c>
      <c r="P28" t="s">
        <v>103</v>
      </c>
      <c r="Q28" t="s">
        <v>104</v>
      </c>
      <c r="R28" t="s">
        <v>102</v>
      </c>
      <c r="S28" t="s">
        <v>102</v>
      </c>
      <c r="T28" t="s">
        <v>107</v>
      </c>
      <c r="U28" t="s">
        <v>106</v>
      </c>
      <c r="V28" t="s">
        <v>102</v>
      </c>
      <c r="W28" t="s">
        <v>102</v>
      </c>
      <c r="X28" t="s">
        <v>103</v>
      </c>
      <c r="Y28" t="s">
        <v>106</v>
      </c>
      <c r="Z28" t="s">
        <v>103</v>
      </c>
      <c r="AA28" t="s">
        <v>107</v>
      </c>
      <c r="AB28" t="s">
        <v>106</v>
      </c>
      <c r="AC28" t="s">
        <v>106</v>
      </c>
      <c r="AD28" t="s">
        <v>102</v>
      </c>
      <c r="AE28" t="s">
        <v>103</v>
      </c>
      <c r="AF28" t="s">
        <v>106</v>
      </c>
      <c r="AG28" t="s">
        <v>102</v>
      </c>
      <c r="AH28" t="s">
        <v>103</v>
      </c>
      <c r="AI28" t="s">
        <v>103</v>
      </c>
    </row>
    <row r="29" spans="1:35" x14ac:dyDescent="0.25">
      <c r="A29" t="s">
        <v>208</v>
      </c>
      <c r="B29" t="s">
        <v>209</v>
      </c>
      <c r="C29" t="s">
        <v>210</v>
      </c>
      <c r="D29" t="s">
        <v>211</v>
      </c>
      <c r="E29" t="s">
        <v>212</v>
      </c>
      <c r="F29" t="s">
        <v>102</v>
      </c>
      <c r="G29" t="s">
        <v>102</v>
      </c>
      <c r="H29" t="s">
        <v>102</v>
      </c>
      <c r="I29" t="s">
        <v>102</v>
      </c>
      <c r="J29" t="s">
        <v>102</v>
      </c>
      <c r="K29" t="s">
        <v>104</v>
      </c>
      <c r="L29" t="s">
        <v>103</v>
      </c>
      <c r="M29" t="s">
        <v>102</v>
      </c>
      <c r="N29" t="s">
        <v>102</v>
      </c>
      <c r="O29" t="s">
        <v>103</v>
      </c>
      <c r="P29" t="s">
        <v>102</v>
      </c>
      <c r="Q29" t="s">
        <v>107</v>
      </c>
      <c r="R29" t="s">
        <v>102</v>
      </c>
      <c r="S29" t="s">
        <v>103</v>
      </c>
      <c r="T29" t="s">
        <v>103</v>
      </c>
      <c r="U29" t="s">
        <v>104</v>
      </c>
      <c r="V29" t="s">
        <v>103</v>
      </c>
      <c r="W29" t="s">
        <v>103</v>
      </c>
      <c r="X29" t="s">
        <v>103</v>
      </c>
      <c r="Y29" t="s">
        <v>103</v>
      </c>
      <c r="Z29" t="s">
        <v>104</v>
      </c>
      <c r="AA29" t="s">
        <v>104</v>
      </c>
      <c r="AB29" t="s">
        <v>103</v>
      </c>
      <c r="AC29" t="s">
        <v>106</v>
      </c>
      <c r="AD29" t="s">
        <v>102</v>
      </c>
      <c r="AE29" t="s">
        <v>103</v>
      </c>
      <c r="AF29" t="s">
        <v>103</v>
      </c>
      <c r="AG29" t="s">
        <v>103</v>
      </c>
      <c r="AH29" t="s">
        <v>104</v>
      </c>
      <c r="AI29" t="s">
        <v>103</v>
      </c>
    </row>
    <row r="30" spans="1:35" x14ac:dyDescent="0.25">
      <c r="A30" t="s">
        <v>213</v>
      </c>
      <c r="B30" t="s">
        <v>214</v>
      </c>
      <c r="C30" t="s">
        <v>215</v>
      </c>
      <c r="D30" t="s">
        <v>216</v>
      </c>
      <c r="E30" t="s">
        <v>137</v>
      </c>
      <c r="F30" t="s">
        <v>102</v>
      </c>
      <c r="G30" t="s">
        <v>106</v>
      </c>
      <c r="H30" t="s">
        <v>103</v>
      </c>
      <c r="I30" t="s">
        <v>106</v>
      </c>
      <c r="J30" t="s">
        <v>103</v>
      </c>
      <c r="K30" t="s">
        <v>102</v>
      </c>
      <c r="L30" t="s">
        <v>102</v>
      </c>
      <c r="M30" t="s">
        <v>102</v>
      </c>
      <c r="N30" t="s">
        <v>102</v>
      </c>
      <c r="O30" t="s">
        <v>106</v>
      </c>
      <c r="P30" t="s">
        <v>103</v>
      </c>
      <c r="Q30" t="s">
        <v>103</v>
      </c>
      <c r="R30" t="s">
        <v>103</v>
      </c>
      <c r="S30" t="s">
        <v>102</v>
      </c>
      <c r="T30" t="s">
        <v>105</v>
      </c>
      <c r="U30" t="s">
        <v>107</v>
      </c>
      <c r="V30" t="s">
        <v>106</v>
      </c>
      <c r="W30" t="s">
        <v>102</v>
      </c>
      <c r="X30" t="s">
        <v>102</v>
      </c>
      <c r="Y30" t="s">
        <v>102</v>
      </c>
      <c r="Z30" t="s">
        <v>114</v>
      </c>
      <c r="AA30" t="s">
        <v>107</v>
      </c>
      <c r="AB30" t="s">
        <v>102</v>
      </c>
      <c r="AC30" t="s">
        <v>107</v>
      </c>
      <c r="AD30" t="s">
        <v>102</v>
      </c>
      <c r="AE30" t="s">
        <v>102</v>
      </c>
      <c r="AF30" t="s">
        <v>104</v>
      </c>
      <c r="AG30" t="s">
        <v>102</v>
      </c>
      <c r="AH30" t="s">
        <v>102</v>
      </c>
      <c r="AI30" t="s">
        <v>102</v>
      </c>
    </row>
    <row r="31" spans="1:35" x14ac:dyDescent="0.25">
      <c r="A31" t="s">
        <v>217</v>
      </c>
      <c r="B31" t="s">
        <v>218</v>
      </c>
      <c r="C31" t="s">
        <v>219</v>
      </c>
      <c r="D31" t="s">
        <v>174</v>
      </c>
      <c r="E31" t="s">
        <v>137</v>
      </c>
      <c r="F31" t="s">
        <v>103</v>
      </c>
      <c r="G31" t="s">
        <v>103</v>
      </c>
      <c r="H31" t="s">
        <v>104</v>
      </c>
      <c r="I31" t="s">
        <v>106</v>
      </c>
      <c r="J31" t="s">
        <v>107</v>
      </c>
      <c r="K31" t="s">
        <v>107</v>
      </c>
      <c r="L31" t="s">
        <v>103</v>
      </c>
      <c r="M31" t="s">
        <v>103</v>
      </c>
      <c r="N31" t="s">
        <v>103</v>
      </c>
      <c r="O31" t="s">
        <v>103</v>
      </c>
      <c r="P31" t="s">
        <v>103</v>
      </c>
      <c r="Q31" t="s">
        <v>104</v>
      </c>
      <c r="R31" t="s">
        <v>102</v>
      </c>
      <c r="S31" t="s">
        <v>102</v>
      </c>
      <c r="T31" t="s">
        <v>103</v>
      </c>
      <c r="U31" t="s">
        <v>106</v>
      </c>
      <c r="V31" t="s">
        <v>104</v>
      </c>
      <c r="W31" t="s">
        <v>103</v>
      </c>
      <c r="X31" t="s">
        <v>102</v>
      </c>
      <c r="Y31" t="s">
        <v>103</v>
      </c>
      <c r="Z31" t="s">
        <v>103</v>
      </c>
      <c r="AA31" t="s">
        <v>104</v>
      </c>
      <c r="AB31" t="s">
        <v>106</v>
      </c>
      <c r="AC31" t="s">
        <v>107</v>
      </c>
      <c r="AD31" t="s">
        <v>102</v>
      </c>
      <c r="AE31" t="s">
        <v>103</v>
      </c>
      <c r="AF31" t="s">
        <v>108</v>
      </c>
      <c r="AG31" t="s">
        <v>103</v>
      </c>
      <c r="AH31" t="s">
        <v>106</v>
      </c>
      <c r="AI31" t="s">
        <v>106</v>
      </c>
    </row>
    <row r="32" spans="1:35" x14ac:dyDescent="0.25">
      <c r="A32" t="s">
        <v>220</v>
      </c>
      <c r="B32" t="s">
        <v>221</v>
      </c>
      <c r="C32" t="s">
        <v>222</v>
      </c>
      <c r="D32" t="s">
        <v>122</v>
      </c>
      <c r="E32" t="s">
        <v>122</v>
      </c>
      <c r="F32" t="s">
        <v>104</v>
      </c>
      <c r="G32" t="s">
        <v>106</v>
      </c>
      <c r="H32" t="s">
        <v>103</v>
      </c>
      <c r="I32" t="s">
        <v>103</v>
      </c>
      <c r="J32" t="s">
        <v>108</v>
      </c>
      <c r="K32" t="s">
        <v>104</v>
      </c>
      <c r="L32" t="s">
        <v>103</v>
      </c>
      <c r="M32" t="s">
        <v>103</v>
      </c>
      <c r="N32" t="s">
        <v>108</v>
      </c>
      <c r="O32" t="s">
        <v>103</v>
      </c>
      <c r="P32" t="s">
        <v>107</v>
      </c>
      <c r="Q32" t="s">
        <v>103</v>
      </c>
      <c r="R32" t="s">
        <v>106</v>
      </c>
      <c r="S32" t="s">
        <v>103</v>
      </c>
      <c r="T32" t="s">
        <v>104</v>
      </c>
      <c r="U32" t="s">
        <v>104</v>
      </c>
      <c r="V32" t="s">
        <v>104</v>
      </c>
      <c r="W32" t="s">
        <v>102</v>
      </c>
      <c r="X32" t="s">
        <v>113</v>
      </c>
      <c r="Y32" t="s">
        <v>108</v>
      </c>
      <c r="Z32" t="s">
        <v>106</v>
      </c>
      <c r="AA32" t="s">
        <v>104</v>
      </c>
      <c r="AB32" t="s">
        <v>104</v>
      </c>
      <c r="AC32" t="s">
        <v>105</v>
      </c>
      <c r="AD32" t="s">
        <v>104</v>
      </c>
      <c r="AE32" t="s">
        <v>107</v>
      </c>
      <c r="AF32" t="s">
        <v>106</v>
      </c>
      <c r="AG32" t="s">
        <v>106</v>
      </c>
      <c r="AH32" t="s">
        <v>108</v>
      </c>
      <c r="AI32" t="s">
        <v>103</v>
      </c>
    </row>
    <row r="33" spans="1:35" x14ac:dyDescent="0.25">
      <c r="A33" t="s">
        <v>223</v>
      </c>
      <c r="B33" t="s">
        <v>224</v>
      </c>
      <c r="C33" t="s">
        <v>225</v>
      </c>
      <c r="D33" t="s">
        <v>226</v>
      </c>
      <c r="E33" t="s">
        <v>137</v>
      </c>
      <c r="F33" t="s">
        <v>102</v>
      </c>
      <c r="G33" t="s">
        <v>102</v>
      </c>
      <c r="H33" t="s">
        <v>104</v>
      </c>
      <c r="I33" t="s">
        <v>102</v>
      </c>
      <c r="J33" t="s">
        <v>102</v>
      </c>
      <c r="K33" t="s">
        <v>102</v>
      </c>
      <c r="L33" t="s">
        <v>102</v>
      </c>
      <c r="M33" t="s">
        <v>102</v>
      </c>
      <c r="N33" t="s">
        <v>103</v>
      </c>
      <c r="O33" t="s">
        <v>102</v>
      </c>
      <c r="P33" t="s">
        <v>103</v>
      </c>
      <c r="Q33" t="s">
        <v>103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103</v>
      </c>
      <c r="Z33" t="s">
        <v>103</v>
      </c>
      <c r="AA33" t="s">
        <v>104</v>
      </c>
      <c r="AB33" t="s">
        <v>103</v>
      </c>
      <c r="AC33" t="s">
        <v>106</v>
      </c>
      <c r="AD33" t="s">
        <v>106</v>
      </c>
      <c r="AE33" t="s">
        <v>106</v>
      </c>
      <c r="AF33" t="s">
        <v>104</v>
      </c>
      <c r="AG33" t="s">
        <v>102</v>
      </c>
      <c r="AH33" t="s">
        <v>103</v>
      </c>
      <c r="AI33" t="s">
        <v>102</v>
      </c>
    </row>
    <row r="34" spans="1:35" x14ac:dyDescent="0.25">
      <c r="A34" t="s">
        <v>227</v>
      </c>
      <c r="B34" t="s">
        <v>228</v>
      </c>
      <c r="C34" t="s">
        <v>229</v>
      </c>
      <c r="D34" t="s">
        <v>230</v>
      </c>
      <c r="E34" t="s">
        <v>231</v>
      </c>
      <c r="F34" t="s">
        <v>102</v>
      </c>
      <c r="G34" t="s">
        <v>106</v>
      </c>
      <c r="H34" t="s">
        <v>103</v>
      </c>
      <c r="I34" t="s">
        <v>102</v>
      </c>
      <c r="J34" t="s">
        <v>107</v>
      </c>
      <c r="K34" t="s">
        <v>106</v>
      </c>
      <c r="L34" t="s">
        <v>102</v>
      </c>
      <c r="M34" t="s">
        <v>102</v>
      </c>
      <c r="N34" t="s">
        <v>106</v>
      </c>
      <c r="O34" t="s">
        <v>106</v>
      </c>
      <c r="P34" t="s">
        <v>105</v>
      </c>
      <c r="Q34" t="s">
        <v>104</v>
      </c>
      <c r="R34" t="s">
        <v>106</v>
      </c>
      <c r="S34" t="s">
        <v>102</v>
      </c>
      <c r="T34" t="s">
        <v>104</v>
      </c>
      <c r="U34" t="s">
        <v>104</v>
      </c>
      <c r="V34" t="s">
        <v>104</v>
      </c>
      <c r="W34" t="s">
        <v>106</v>
      </c>
      <c r="X34" t="s">
        <v>102</v>
      </c>
      <c r="Y34" t="s">
        <v>106</v>
      </c>
      <c r="Z34" t="s">
        <v>104</v>
      </c>
      <c r="AA34" t="s">
        <v>104</v>
      </c>
      <c r="AB34" t="s">
        <v>102</v>
      </c>
      <c r="AC34" t="s">
        <v>106</v>
      </c>
      <c r="AD34" t="s">
        <v>102</v>
      </c>
      <c r="AE34" t="s">
        <v>103</v>
      </c>
      <c r="AF34" t="s">
        <v>106</v>
      </c>
      <c r="AG34" t="s">
        <v>106</v>
      </c>
      <c r="AH34" t="s">
        <v>104</v>
      </c>
      <c r="AI34" t="s">
        <v>102</v>
      </c>
    </row>
    <row r="35" spans="1:35" x14ac:dyDescent="0.25">
      <c r="A35" t="s">
        <v>232</v>
      </c>
      <c r="B35" t="s">
        <v>233</v>
      </c>
      <c r="C35" t="s">
        <v>234</v>
      </c>
      <c r="D35" t="s">
        <v>235</v>
      </c>
      <c r="E35" t="s">
        <v>137</v>
      </c>
      <c r="F35" t="s">
        <v>115</v>
      </c>
      <c r="G35" t="s">
        <v>102</v>
      </c>
      <c r="H35" t="s">
        <v>189</v>
      </c>
      <c r="I35" t="s">
        <v>113</v>
      </c>
      <c r="J35" t="s">
        <v>104</v>
      </c>
      <c r="K35" t="s">
        <v>110</v>
      </c>
      <c r="L35" t="s">
        <v>112</v>
      </c>
      <c r="M35" t="s">
        <v>113</v>
      </c>
      <c r="N35" t="s">
        <v>113</v>
      </c>
      <c r="O35" t="s">
        <v>113</v>
      </c>
      <c r="P35" t="s">
        <v>104</v>
      </c>
      <c r="Q35" t="s">
        <v>106</v>
      </c>
      <c r="R35" t="s">
        <v>103</v>
      </c>
      <c r="S35" t="s">
        <v>103</v>
      </c>
      <c r="T35" t="s">
        <v>107</v>
      </c>
      <c r="U35" t="s">
        <v>107</v>
      </c>
      <c r="V35" t="s">
        <v>106</v>
      </c>
      <c r="W35" t="s">
        <v>104</v>
      </c>
      <c r="X35" t="s">
        <v>106</v>
      </c>
      <c r="Y35" t="s">
        <v>107</v>
      </c>
      <c r="Z35" t="s">
        <v>107</v>
      </c>
      <c r="AA35" t="s">
        <v>108</v>
      </c>
      <c r="AB35" t="s">
        <v>105</v>
      </c>
      <c r="AC35" t="s">
        <v>106</v>
      </c>
      <c r="AD35" t="s">
        <v>104</v>
      </c>
      <c r="AE35" t="s">
        <v>104</v>
      </c>
      <c r="AF35" t="s">
        <v>102</v>
      </c>
      <c r="AG35" t="s">
        <v>104</v>
      </c>
      <c r="AH35" t="s">
        <v>108</v>
      </c>
      <c r="AI35" t="s">
        <v>104</v>
      </c>
    </row>
    <row r="36" spans="1:35" x14ac:dyDescent="0.25">
      <c r="A36" t="s">
        <v>236</v>
      </c>
      <c r="B36" t="s">
        <v>237</v>
      </c>
      <c r="C36" t="s">
        <v>238</v>
      </c>
      <c r="D36" t="s">
        <v>211</v>
      </c>
      <c r="E36" t="s">
        <v>239</v>
      </c>
      <c r="F36" t="s">
        <v>106</v>
      </c>
      <c r="G36" t="s">
        <v>106</v>
      </c>
      <c r="H36" t="s">
        <v>106</v>
      </c>
      <c r="I36" t="s">
        <v>106</v>
      </c>
      <c r="J36" t="s">
        <v>102</v>
      </c>
      <c r="K36" t="s">
        <v>103</v>
      </c>
      <c r="L36" t="s">
        <v>103</v>
      </c>
      <c r="M36" t="s">
        <v>107</v>
      </c>
      <c r="N36" t="s">
        <v>106</v>
      </c>
      <c r="O36" t="s">
        <v>104</v>
      </c>
      <c r="P36" t="s">
        <v>102</v>
      </c>
      <c r="Q36" t="s">
        <v>104</v>
      </c>
      <c r="R36" t="s">
        <v>103</v>
      </c>
      <c r="S36" t="s">
        <v>103</v>
      </c>
      <c r="T36" t="s">
        <v>107</v>
      </c>
      <c r="U36" t="s">
        <v>107</v>
      </c>
      <c r="V36" t="s">
        <v>103</v>
      </c>
      <c r="W36" t="s">
        <v>102</v>
      </c>
      <c r="X36" t="s">
        <v>103</v>
      </c>
      <c r="Y36" t="s">
        <v>107</v>
      </c>
      <c r="Z36" t="s">
        <v>107</v>
      </c>
      <c r="AA36" t="s">
        <v>104</v>
      </c>
      <c r="AB36" t="s">
        <v>102</v>
      </c>
      <c r="AC36" t="s">
        <v>103</v>
      </c>
      <c r="AD36" t="s">
        <v>102</v>
      </c>
      <c r="AE36" t="s">
        <v>104</v>
      </c>
      <c r="AF36" t="s">
        <v>108</v>
      </c>
      <c r="AG36" t="s">
        <v>103</v>
      </c>
      <c r="AH36" t="s">
        <v>102</v>
      </c>
      <c r="AI36" t="s">
        <v>102</v>
      </c>
    </row>
    <row r="37" spans="1:35" x14ac:dyDescent="0.25">
      <c r="A37" t="s">
        <v>240</v>
      </c>
      <c r="B37" t="s">
        <v>241</v>
      </c>
      <c r="C37" t="s">
        <v>242</v>
      </c>
      <c r="D37" t="s">
        <v>243</v>
      </c>
      <c r="E37" t="s">
        <v>244</v>
      </c>
      <c r="F37" t="s">
        <v>103</v>
      </c>
      <c r="G37" t="s">
        <v>103</v>
      </c>
      <c r="H37" t="s">
        <v>104</v>
      </c>
      <c r="I37" t="s">
        <v>103</v>
      </c>
      <c r="J37" t="s">
        <v>102</v>
      </c>
      <c r="K37" t="s">
        <v>108</v>
      </c>
      <c r="L37" t="s">
        <v>103</v>
      </c>
      <c r="M37" t="s">
        <v>106</v>
      </c>
      <c r="N37" t="s">
        <v>106</v>
      </c>
      <c r="O37" t="s">
        <v>103</v>
      </c>
      <c r="P37" t="s">
        <v>103</v>
      </c>
      <c r="Q37" t="s">
        <v>108</v>
      </c>
      <c r="R37" t="s">
        <v>104</v>
      </c>
      <c r="S37" t="s">
        <v>102</v>
      </c>
      <c r="T37" t="s">
        <v>106</v>
      </c>
      <c r="U37" t="s">
        <v>107</v>
      </c>
      <c r="V37" t="s">
        <v>102</v>
      </c>
      <c r="W37" t="s">
        <v>107</v>
      </c>
      <c r="X37" t="s">
        <v>102</v>
      </c>
      <c r="Y37" t="s">
        <v>106</v>
      </c>
      <c r="Z37" t="s">
        <v>106</v>
      </c>
      <c r="AA37" t="s">
        <v>108</v>
      </c>
      <c r="AB37" t="s">
        <v>106</v>
      </c>
      <c r="AC37" t="s">
        <v>104</v>
      </c>
      <c r="AD37" t="s">
        <v>102</v>
      </c>
      <c r="AE37" t="s">
        <v>104</v>
      </c>
      <c r="AF37" t="s">
        <v>103</v>
      </c>
      <c r="AG37" t="s">
        <v>103</v>
      </c>
      <c r="AH37" t="s">
        <v>106</v>
      </c>
      <c r="AI37" t="s">
        <v>108</v>
      </c>
    </row>
    <row r="38" spans="1:35" x14ac:dyDescent="0.25">
      <c r="A38" t="s">
        <v>245</v>
      </c>
      <c r="B38" t="s">
        <v>246</v>
      </c>
      <c r="C38" t="s">
        <v>247</v>
      </c>
      <c r="D38" t="s">
        <v>248</v>
      </c>
      <c r="E38" t="s">
        <v>137</v>
      </c>
      <c r="F38" t="s">
        <v>103</v>
      </c>
      <c r="G38" t="s">
        <v>102</v>
      </c>
      <c r="H38" t="s">
        <v>102</v>
      </c>
      <c r="I38" t="s">
        <v>102</v>
      </c>
      <c r="J38" t="s">
        <v>102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103</v>
      </c>
      <c r="Q38" t="s">
        <v>103</v>
      </c>
      <c r="R38" t="s">
        <v>102</v>
      </c>
      <c r="S38" t="s">
        <v>102</v>
      </c>
      <c r="T38" t="s">
        <v>102</v>
      </c>
      <c r="U38" t="s">
        <v>102</v>
      </c>
      <c r="V38" t="s">
        <v>106</v>
      </c>
      <c r="W38" t="s">
        <v>102</v>
      </c>
      <c r="X38" t="s">
        <v>102</v>
      </c>
      <c r="Y38" t="s">
        <v>103</v>
      </c>
      <c r="Z38" t="s">
        <v>103</v>
      </c>
      <c r="AA38" t="s">
        <v>104</v>
      </c>
      <c r="AB38" t="s">
        <v>102</v>
      </c>
      <c r="AC38" t="s">
        <v>102</v>
      </c>
      <c r="AD38" t="s">
        <v>102</v>
      </c>
      <c r="AE38" t="s">
        <v>103</v>
      </c>
      <c r="AF38" t="s">
        <v>106</v>
      </c>
      <c r="AG38" t="s">
        <v>103</v>
      </c>
      <c r="AH38" t="s">
        <v>102</v>
      </c>
      <c r="AI38" t="s">
        <v>102</v>
      </c>
    </row>
    <row r="39" spans="1:35" x14ac:dyDescent="0.25">
      <c r="A39" t="s">
        <v>249</v>
      </c>
      <c r="B39" t="s">
        <v>250</v>
      </c>
      <c r="C39" t="s">
        <v>251</v>
      </c>
      <c r="D39" t="s">
        <v>126</v>
      </c>
      <c r="E39" t="s">
        <v>252</v>
      </c>
      <c r="F39" t="s">
        <v>102</v>
      </c>
      <c r="G39" t="s">
        <v>102</v>
      </c>
      <c r="H39" t="s">
        <v>102</v>
      </c>
      <c r="I39" t="s">
        <v>102</v>
      </c>
      <c r="J39" t="s">
        <v>102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103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  <c r="AF39" t="s">
        <v>102</v>
      </c>
      <c r="AG39" t="s">
        <v>102</v>
      </c>
      <c r="AH39" t="s">
        <v>102</v>
      </c>
      <c r="AI39" t="s">
        <v>102</v>
      </c>
    </row>
    <row r="40" spans="1:35" x14ac:dyDescent="0.25">
      <c r="A40" t="s">
        <v>253</v>
      </c>
      <c r="B40" t="s">
        <v>254</v>
      </c>
      <c r="C40" t="s">
        <v>255</v>
      </c>
      <c r="D40" t="s">
        <v>256</v>
      </c>
      <c r="E40" t="s">
        <v>137</v>
      </c>
      <c r="F40" t="s">
        <v>104</v>
      </c>
      <c r="G40" t="s">
        <v>106</v>
      </c>
      <c r="H40" t="s">
        <v>103</v>
      </c>
      <c r="I40" t="s">
        <v>103</v>
      </c>
      <c r="J40" t="s">
        <v>106</v>
      </c>
      <c r="K40" t="s">
        <v>103</v>
      </c>
      <c r="L40" t="s">
        <v>103</v>
      </c>
      <c r="M40" t="s">
        <v>103</v>
      </c>
      <c r="N40" t="s">
        <v>103</v>
      </c>
      <c r="O40" t="s">
        <v>103</v>
      </c>
      <c r="P40" t="s">
        <v>106</v>
      </c>
      <c r="Q40" t="s">
        <v>106</v>
      </c>
      <c r="R40" t="s">
        <v>106</v>
      </c>
      <c r="S40" t="s">
        <v>103</v>
      </c>
      <c r="T40" t="s">
        <v>103</v>
      </c>
      <c r="U40" t="s">
        <v>106</v>
      </c>
      <c r="V40" t="s">
        <v>106</v>
      </c>
      <c r="W40" t="s">
        <v>106</v>
      </c>
      <c r="X40" t="s">
        <v>106</v>
      </c>
      <c r="Y40" t="s">
        <v>103</v>
      </c>
      <c r="Z40" t="s">
        <v>106</v>
      </c>
      <c r="AA40" t="s">
        <v>106</v>
      </c>
      <c r="AB40" t="s">
        <v>104</v>
      </c>
      <c r="AC40" t="s">
        <v>106</v>
      </c>
      <c r="AD40" t="s">
        <v>106</v>
      </c>
      <c r="AE40" t="s">
        <v>106</v>
      </c>
      <c r="AF40" t="s">
        <v>104</v>
      </c>
      <c r="AG40" t="s">
        <v>106</v>
      </c>
      <c r="AH40" t="s">
        <v>106</v>
      </c>
      <c r="AI40" t="s">
        <v>106</v>
      </c>
    </row>
    <row r="41" spans="1:35" x14ac:dyDescent="0.25">
      <c r="A41" t="s">
        <v>257</v>
      </c>
      <c r="B41" t="s">
        <v>258</v>
      </c>
      <c r="C41" t="s">
        <v>259</v>
      </c>
      <c r="D41" t="s">
        <v>174</v>
      </c>
      <c r="E41" t="s">
        <v>137</v>
      </c>
      <c r="F41" t="s">
        <v>108</v>
      </c>
      <c r="G41" t="s">
        <v>104</v>
      </c>
      <c r="H41" t="s">
        <v>107</v>
      </c>
      <c r="I41" t="s">
        <v>108</v>
      </c>
      <c r="J41" t="s">
        <v>104</v>
      </c>
      <c r="K41" t="s">
        <v>106</v>
      </c>
      <c r="L41" t="s">
        <v>106</v>
      </c>
      <c r="M41" t="s">
        <v>103</v>
      </c>
      <c r="N41" t="s">
        <v>103</v>
      </c>
      <c r="O41" t="s">
        <v>108</v>
      </c>
      <c r="P41" t="s">
        <v>108</v>
      </c>
      <c r="Q41" t="s">
        <v>102</v>
      </c>
      <c r="R41" t="s">
        <v>106</v>
      </c>
      <c r="S41" t="s">
        <v>106</v>
      </c>
      <c r="T41" t="s">
        <v>104</v>
      </c>
      <c r="U41" t="s">
        <v>107</v>
      </c>
      <c r="V41" t="s">
        <v>104</v>
      </c>
      <c r="W41" t="s">
        <v>103</v>
      </c>
      <c r="X41" t="s">
        <v>104</v>
      </c>
      <c r="Y41" t="s">
        <v>104</v>
      </c>
      <c r="Z41" t="s">
        <v>107</v>
      </c>
      <c r="AA41" t="s">
        <v>108</v>
      </c>
      <c r="AB41" t="s">
        <v>108</v>
      </c>
      <c r="AC41" t="s">
        <v>104</v>
      </c>
      <c r="AD41" t="s">
        <v>103</v>
      </c>
      <c r="AE41" t="s">
        <v>105</v>
      </c>
      <c r="AF41" t="s">
        <v>108</v>
      </c>
      <c r="AG41" t="s">
        <v>108</v>
      </c>
      <c r="AH41" t="s">
        <v>107</v>
      </c>
      <c r="AI41" t="s">
        <v>106</v>
      </c>
    </row>
    <row r="42" spans="1:35" x14ac:dyDescent="0.25">
      <c r="A42" t="s">
        <v>260</v>
      </c>
      <c r="B42" t="s">
        <v>261</v>
      </c>
      <c r="C42" t="s">
        <v>262</v>
      </c>
      <c r="D42" t="s">
        <v>263</v>
      </c>
      <c r="E42" t="s">
        <v>264</v>
      </c>
      <c r="F42" t="s">
        <v>103</v>
      </c>
      <c r="G42" t="s">
        <v>103</v>
      </c>
      <c r="H42" t="s">
        <v>106</v>
      </c>
      <c r="I42" t="s">
        <v>103</v>
      </c>
      <c r="J42" t="s">
        <v>102</v>
      </c>
      <c r="K42" t="s">
        <v>103</v>
      </c>
      <c r="L42" t="s">
        <v>103</v>
      </c>
      <c r="M42" t="s">
        <v>103</v>
      </c>
      <c r="N42" t="s">
        <v>103</v>
      </c>
      <c r="O42" t="s">
        <v>102</v>
      </c>
      <c r="P42" t="s">
        <v>102</v>
      </c>
      <c r="Q42" t="s">
        <v>105</v>
      </c>
      <c r="R42" t="s">
        <v>102</v>
      </c>
      <c r="S42" t="s">
        <v>103</v>
      </c>
      <c r="T42" t="s">
        <v>104</v>
      </c>
      <c r="U42" t="s">
        <v>103</v>
      </c>
      <c r="V42" t="s">
        <v>102</v>
      </c>
      <c r="W42" t="s">
        <v>103</v>
      </c>
      <c r="X42" t="s">
        <v>102</v>
      </c>
      <c r="Y42" t="s">
        <v>102</v>
      </c>
      <c r="Z42" t="s">
        <v>104</v>
      </c>
      <c r="AA42" t="s">
        <v>102</v>
      </c>
      <c r="AB42" t="s">
        <v>103</v>
      </c>
      <c r="AC42" t="s">
        <v>104</v>
      </c>
      <c r="AD42" t="s">
        <v>102</v>
      </c>
      <c r="AE42" t="s">
        <v>103</v>
      </c>
      <c r="AF42" t="s">
        <v>103</v>
      </c>
      <c r="AG42" t="s">
        <v>102</v>
      </c>
      <c r="AH42" t="s">
        <v>102</v>
      </c>
      <c r="AI42" t="s">
        <v>103</v>
      </c>
    </row>
    <row r="43" spans="1:35" x14ac:dyDescent="0.25">
      <c r="A43" t="s">
        <v>265</v>
      </c>
      <c r="B43" t="s">
        <v>266</v>
      </c>
      <c r="C43" t="s">
        <v>267</v>
      </c>
      <c r="D43" t="s">
        <v>268</v>
      </c>
      <c r="E43" t="s">
        <v>269</v>
      </c>
      <c r="F43" t="s">
        <v>103</v>
      </c>
      <c r="G43" t="s">
        <v>103</v>
      </c>
      <c r="H43" t="s">
        <v>104</v>
      </c>
      <c r="I43" t="s">
        <v>103</v>
      </c>
      <c r="J43" t="s">
        <v>108</v>
      </c>
      <c r="K43" t="s">
        <v>104</v>
      </c>
      <c r="L43" t="s">
        <v>105</v>
      </c>
      <c r="M43" t="s">
        <v>106</v>
      </c>
      <c r="N43" t="s">
        <v>103</v>
      </c>
      <c r="O43" t="s">
        <v>103</v>
      </c>
      <c r="P43" t="s">
        <v>102</v>
      </c>
      <c r="Q43" t="s">
        <v>105</v>
      </c>
      <c r="R43" t="s">
        <v>102</v>
      </c>
      <c r="S43" t="s">
        <v>108</v>
      </c>
      <c r="T43" t="s">
        <v>104</v>
      </c>
      <c r="U43" t="s">
        <v>107</v>
      </c>
      <c r="V43" t="s">
        <v>108</v>
      </c>
      <c r="W43" t="s">
        <v>104</v>
      </c>
      <c r="X43" t="s">
        <v>104</v>
      </c>
      <c r="Y43" t="s">
        <v>102</v>
      </c>
      <c r="Z43" t="s">
        <v>104</v>
      </c>
      <c r="AA43" t="s">
        <v>107</v>
      </c>
      <c r="AB43" t="s">
        <v>108</v>
      </c>
      <c r="AC43" t="s">
        <v>104</v>
      </c>
      <c r="AD43" t="s">
        <v>106</v>
      </c>
      <c r="AE43" t="s">
        <v>108</v>
      </c>
      <c r="AF43" t="s">
        <v>104</v>
      </c>
      <c r="AG43" t="s">
        <v>106</v>
      </c>
      <c r="AH43" t="s">
        <v>104</v>
      </c>
      <c r="AI43" t="s">
        <v>106</v>
      </c>
    </row>
    <row r="44" spans="1:35" x14ac:dyDescent="0.25">
      <c r="A44" t="s">
        <v>270</v>
      </c>
      <c r="B44" t="s">
        <v>271</v>
      </c>
      <c r="C44" t="s">
        <v>272</v>
      </c>
      <c r="D44" t="s">
        <v>66</v>
      </c>
      <c r="E44" t="s">
        <v>141</v>
      </c>
      <c r="F44" t="s">
        <v>103</v>
      </c>
      <c r="G44" t="s">
        <v>103</v>
      </c>
      <c r="H44" t="s">
        <v>104</v>
      </c>
      <c r="I44" t="s">
        <v>103</v>
      </c>
      <c r="J44" t="s">
        <v>103</v>
      </c>
      <c r="K44" t="s">
        <v>107</v>
      </c>
      <c r="L44" t="s">
        <v>102</v>
      </c>
      <c r="M44" t="s">
        <v>103</v>
      </c>
      <c r="N44" t="s">
        <v>103</v>
      </c>
      <c r="O44" t="s">
        <v>103</v>
      </c>
      <c r="P44" t="s">
        <v>102</v>
      </c>
      <c r="Q44" t="s">
        <v>106</v>
      </c>
      <c r="R44" t="s">
        <v>102</v>
      </c>
      <c r="S44" t="s">
        <v>102</v>
      </c>
      <c r="T44" t="s">
        <v>104</v>
      </c>
      <c r="U44" t="s">
        <v>103</v>
      </c>
      <c r="V44" t="s">
        <v>102</v>
      </c>
      <c r="W44" t="s">
        <v>103</v>
      </c>
      <c r="X44" t="s">
        <v>102</v>
      </c>
      <c r="Y44" t="s">
        <v>103</v>
      </c>
      <c r="Z44" t="s">
        <v>103</v>
      </c>
      <c r="AA44" t="s">
        <v>104</v>
      </c>
      <c r="AB44" t="s">
        <v>103</v>
      </c>
      <c r="AC44" t="s">
        <v>103</v>
      </c>
      <c r="AD44" t="s">
        <v>102</v>
      </c>
      <c r="AE44" t="s">
        <v>102</v>
      </c>
      <c r="AF44" t="s">
        <v>104</v>
      </c>
      <c r="AG44" t="s">
        <v>103</v>
      </c>
      <c r="AH44" t="s">
        <v>102</v>
      </c>
      <c r="AI44" t="s">
        <v>103</v>
      </c>
    </row>
    <row r="45" spans="1:35" x14ac:dyDescent="0.25">
      <c r="A45" t="s">
        <v>273</v>
      </c>
      <c r="B45" t="s">
        <v>274</v>
      </c>
      <c r="C45" t="s">
        <v>275</v>
      </c>
      <c r="D45" t="s">
        <v>276</v>
      </c>
      <c r="E45" t="s">
        <v>161</v>
      </c>
      <c r="F45" t="s">
        <v>102</v>
      </c>
      <c r="G45" t="s">
        <v>106</v>
      </c>
      <c r="H45" t="s">
        <v>104</v>
      </c>
      <c r="I45" t="s">
        <v>108</v>
      </c>
      <c r="J45" t="s">
        <v>106</v>
      </c>
      <c r="K45" t="s">
        <v>107</v>
      </c>
      <c r="L45" t="s">
        <v>108</v>
      </c>
      <c r="M45" t="s">
        <v>103</v>
      </c>
      <c r="N45" t="s">
        <v>104</v>
      </c>
      <c r="O45" t="s">
        <v>107</v>
      </c>
      <c r="P45" t="s">
        <v>102</v>
      </c>
      <c r="Q45" t="s">
        <v>107</v>
      </c>
      <c r="R45" t="s">
        <v>102</v>
      </c>
      <c r="S45" t="s">
        <v>102</v>
      </c>
      <c r="T45" t="s">
        <v>103</v>
      </c>
      <c r="U45" t="s">
        <v>108</v>
      </c>
      <c r="V45" t="s">
        <v>110</v>
      </c>
      <c r="W45" t="s">
        <v>107</v>
      </c>
      <c r="X45" t="s">
        <v>103</v>
      </c>
      <c r="Y45" t="s">
        <v>103</v>
      </c>
      <c r="Z45" t="s">
        <v>108</v>
      </c>
      <c r="AA45" t="s">
        <v>105</v>
      </c>
      <c r="AB45" t="s">
        <v>102</v>
      </c>
      <c r="AC45" t="s">
        <v>105</v>
      </c>
      <c r="AD45" t="s">
        <v>102</v>
      </c>
      <c r="AE45" t="s">
        <v>104</v>
      </c>
      <c r="AF45" t="s">
        <v>106</v>
      </c>
      <c r="AG45" t="s">
        <v>102</v>
      </c>
      <c r="AH45" t="s">
        <v>102</v>
      </c>
      <c r="AI45" t="s">
        <v>105</v>
      </c>
    </row>
    <row r="46" spans="1:35" x14ac:dyDescent="0.25">
      <c r="A46" t="s">
        <v>277</v>
      </c>
      <c r="B46" t="s">
        <v>278</v>
      </c>
      <c r="C46" t="s">
        <v>279</v>
      </c>
      <c r="D46" t="s">
        <v>256</v>
      </c>
      <c r="E46" t="s">
        <v>137</v>
      </c>
      <c r="F46" t="s">
        <v>104</v>
      </c>
      <c r="G46" t="s">
        <v>103</v>
      </c>
      <c r="H46" t="s">
        <v>102</v>
      </c>
      <c r="I46" t="s">
        <v>102</v>
      </c>
      <c r="J46" t="s">
        <v>108</v>
      </c>
      <c r="K46" t="s">
        <v>106</v>
      </c>
      <c r="L46" t="s">
        <v>107</v>
      </c>
      <c r="M46" t="s">
        <v>104</v>
      </c>
      <c r="N46" t="s">
        <v>102</v>
      </c>
      <c r="O46" t="s">
        <v>102</v>
      </c>
      <c r="P46" t="s">
        <v>106</v>
      </c>
      <c r="Q46" t="s">
        <v>105</v>
      </c>
      <c r="R46" t="s">
        <v>107</v>
      </c>
      <c r="S46" t="s">
        <v>104</v>
      </c>
      <c r="T46" t="s">
        <v>104</v>
      </c>
      <c r="U46" t="s">
        <v>107</v>
      </c>
      <c r="V46" t="s">
        <v>104</v>
      </c>
      <c r="W46" t="s">
        <v>104</v>
      </c>
      <c r="X46" t="s">
        <v>106</v>
      </c>
      <c r="Y46" t="s">
        <v>104</v>
      </c>
      <c r="Z46" t="s">
        <v>106</v>
      </c>
      <c r="AA46" t="s">
        <v>104</v>
      </c>
      <c r="AB46" t="s">
        <v>107</v>
      </c>
      <c r="AC46" t="s">
        <v>104</v>
      </c>
      <c r="AD46" t="s">
        <v>104</v>
      </c>
      <c r="AE46" t="s">
        <v>104</v>
      </c>
      <c r="AF46" t="s">
        <v>104</v>
      </c>
      <c r="AG46" t="s">
        <v>107</v>
      </c>
      <c r="AH46" t="s">
        <v>104</v>
      </c>
      <c r="AI46" t="s">
        <v>104</v>
      </c>
    </row>
    <row r="47" spans="1:35" x14ac:dyDescent="0.25">
      <c r="A47" t="s">
        <v>280</v>
      </c>
      <c r="B47" t="s">
        <v>281</v>
      </c>
      <c r="C47" t="s">
        <v>282</v>
      </c>
      <c r="D47" t="s">
        <v>283</v>
      </c>
      <c r="E47" t="s">
        <v>284</v>
      </c>
      <c r="F47" t="s">
        <v>102</v>
      </c>
      <c r="G47" t="s">
        <v>102</v>
      </c>
      <c r="H47" t="s">
        <v>103</v>
      </c>
      <c r="I47" t="s">
        <v>102</v>
      </c>
      <c r="J47" t="s">
        <v>103</v>
      </c>
      <c r="K47" t="s">
        <v>103</v>
      </c>
      <c r="L47" t="s">
        <v>102</v>
      </c>
      <c r="M47" t="s">
        <v>102</v>
      </c>
      <c r="N47" t="s">
        <v>103</v>
      </c>
      <c r="O47" t="s">
        <v>106</v>
      </c>
      <c r="P47" t="s">
        <v>102</v>
      </c>
      <c r="Q47" t="s">
        <v>107</v>
      </c>
      <c r="R47" t="s">
        <v>102</v>
      </c>
      <c r="S47" t="s">
        <v>102</v>
      </c>
      <c r="T47" t="s">
        <v>104</v>
      </c>
      <c r="U47" t="s">
        <v>107</v>
      </c>
      <c r="V47" t="s">
        <v>106</v>
      </c>
      <c r="W47" t="s">
        <v>102</v>
      </c>
      <c r="X47" t="s">
        <v>102</v>
      </c>
      <c r="Y47" t="s">
        <v>104</v>
      </c>
      <c r="Z47" t="s">
        <v>107</v>
      </c>
      <c r="AA47" t="s">
        <v>106</v>
      </c>
      <c r="AB47" t="s">
        <v>106</v>
      </c>
      <c r="AC47" t="s">
        <v>107</v>
      </c>
      <c r="AD47" t="s">
        <v>103</v>
      </c>
      <c r="AE47" t="s">
        <v>105</v>
      </c>
      <c r="AF47" t="s">
        <v>104</v>
      </c>
      <c r="AG47" t="s">
        <v>106</v>
      </c>
      <c r="AH47" t="s">
        <v>104</v>
      </c>
      <c r="AI47" t="s">
        <v>103</v>
      </c>
    </row>
    <row r="48" spans="1:35" x14ac:dyDescent="0.25">
      <c r="A48" t="s">
        <v>285</v>
      </c>
      <c r="B48" t="s">
        <v>286</v>
      </c>
      <c r="C48" t="s">
        <v>287</v>
      </c>
      <c r="D48" t="s">
        <v>131</v>
      </c>
      <c r="E48" t="s">
        <v>132</v>
      </c>
      <c r="F48" t="s">
        <v>103</v>
      </c>
      <c r="G48" t="s">
        <v>103</v>
      </c>
      <c r="H48" t="s">
        <v>103</v>
      </c>
      <c r="I48" t="s">
        <v>103</v>
      </c>
      <c r="J48" t="s">
        <v>103</v>
      </c>
      <c r="K48" t="s">
        <v>104</v>
      </c>
      <c r="L48" t="s">
        <v>103</v>
      </c>
      <c r="M48" t="s">
        <v>103</v>
      </c>
      <c r="N48" t="s">
        <v>103</v>
      </c>
      <c r="O48" t="s">
        <v>103</v>
      </c>
      <c r="P48" t="s">
        <v>103</v>
      </c>
      <c r="Q48" t="s">
        <v>104</v>
      </c>
      <c r="R48" t="s">
        <v>102</v>
      </c>
      <c r="S48" t="s">
        <v>103</v>
      </c>
      <c r="T48" t="s">
        <v>103</v>
      </c>
      <c r="U48" t="s">
        <v>103</v>
      </c>
      <c r="V48" t="s">
        <v>103</v>
      </c>
      <c r="W48" t="s">
        <v>107</v>
      </c>
      <c r="X48" t="s">
        <v>103</v>
      </c>
      <c r="Y48" t="s">
        <v>103</v>
      </c>
      <c r="Z48" t="s">
        <v>106</v>
      </c>
      <c r="AA48" t="s">
        <v>106</v>
      </c>
      <c r="AB48" t="s">
        <v>103</v>
      </c>
      <c r="AC48" t="s">
        <v>104</v>
      </c>
      <c r="AD48" t="s">
        <v>103</v>
      </c>
      <c r="AE48" t="s">
        <v>104</v>
      </c>
      <c r="AF48" t="s">
        <v>103</v>
      </c>
      <c r="AG48" t="s">
        <v>103</v>
      </c>
      <c r="AH48" t="s">
        <v>104</v>
      </c>
      <c r="AI48" t="s">
        <v>103</v>
      </c>
    </row>
    <row r="49" spans="1:35" x14ac:dyDescent="0.25">
      <c r="A49" t="s">
        <v>288</v>
      </c>
      <c r="B49" t="s">
        <v>289</v>
      </c>
      <c r="C49" t="s">
        <v>290</v>
      </c>
      <c r="D49" t="s">
        <v>291</v>
      </c>
      <c r="E49" t="s">
        <v>137</v>
      </c>
      <c r="F49" t="s">
        <v>102</v>
      </c>
      <c r="G49" t="s">
        <v>102</v>
      </c>
      <c r="H49" t="s">
        <v>102</v>
      </c>
      <c r="I49" t="s">
        <v>102</v>
      </c>
      <c r="J49" t="s">
        <v>102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  <c r="AF49" t="s">
        <v>102</v>
      </c>
      <c r="AG49" t="s">
        <v>102</v>
      </c>
      <c r="AH49" t="s">
        <v>102</v>
      </c>
      <c r="AI49" t="s">
        <v>102</v>
      </c>
    </row>
    <row r="50" spans="1:35" x14ac:dyDescent="0.25">
      <c r="A50" t="s">
        <v>292</v>
      </c>
      <c r="B50" t="s">
        <v>293</v>
      </c>
      <c r="C50" t="s">
        <v>294</v>
      </c>
      <c r="D50" t="s">
        <v>295</v>
      </c>
      <c r="E50" t="s">
        <v>132</v>
      </c>
      <c r="F50" t="s">
        <v>102</v>
      </c>
      <c r="G50" t="s">
        <v>103</v>
      </c>
      <c r="H50" t="s">
        <v>103</v>
      </c>
      <c r="I50" t="s">
        <v>103</v>
      </c>
      <c r="J50" t="s">
        <v>106</v>
      </c>
      <c r="K50" t="s">
        <v>104</v>
      </c>
      <c r="L50" t="s">
        <v>103</v>
      </c>
      <c r="M50" t="s">
        <v>102</v>
      </c>
      <c r="N50" t="s">
        <v>103</v>
      </c>
      <c r="O50" t="s">
        <v>104</v>
      </c>
      <c r="P50" t="s">
        <v>103</v>
      </c>
      <c r="Q50" t="s">
        <v>102</v>
      </c>
      <c r="R50" t="s">
        <v>103</v>
      </c>
      <c r="S50" t="s">
        <v>102</v>
      </c>
      <c r="T50" t="s">
        <v>103</v>
      </c>
      <c r="U50" t="s">
        <v>104</v>
      </c>
      <c r="V50" t="s">
        <v>106</v>
      </c>
      <c r="W50" t="s">
        <v>104</v>
      </c>
      <c r="X50" t="s">
        <v>104</v>
      </c>
      <c r="Y50" t="s">
        <v>107</v>
      </c>
      <c r="Z50" t="s">
        <v>106</v>
      </c>
      <c r="AA50" t="s">
        <v>108</v>
      </c>
      <c r="AB50" t="s">
        <v>106</v>
      </c>
      <c r="AC50" t="s">
        <v>106</v>
      </c>
      <c r="AD50" t="s">
        <v>102</v>
      </c>
      <c r="AE50" t="s">
        <v>103</v>
      </c>
      <c r="AF50" t="s">
        <v>103</v>
      </c>
      <c r="AG50" t="s">
        <v>107</v>
      </c>
      <c r="AH50" t="s">
        <v>104</v>
      </c>
      <c r="AI50" t="s">
        <v>104</v>
      </c>
    </row>
    <row r="51" spans="1:35" x14ac:dyDescent="0.25">
      <c r="A51" t="s">
        <v>296</v>
      </c>
      <c r="B51" t="s">
        <v>297</v>
      </c>
      <c r="C51" t="s">
        <v>298</v>
      </c>
      <c r="D51" t="s">
        <v>174</v>
      </c>
      <c r="E51" t="s">
        <v>137</v>
      </c>
      <c r="F51" t="s">
        <v>103</v>
      </c>
      <c r="G51" t="s">
        <v>102</v>
      </c>
      <c r="H51" t="s">
        <v>102</v>
      </c>
      <c r="I51" t="s">
        <v>102</v>
      </c>
      <c r="J51" t="s">
        <v>102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103</v>
      </c>
      <c r="AB51" t="s">
        <v>102</v>
      </c>
      <c r="AC51" t="s">
        <v>103</v>
      </c>
      <c r="AD51" t="s">
        <v>102</v>
      </c>
      <c r="AE51" t="s">
        <v>103</v>
      </c>
      <c r="AF51" t="s">
        <v>102</v>
      </c>
      <c r="AG51" t="s">
        <v>103</v>
      </c>
      <c r="AH51" t="s">
        <v>102</v>
      </c>
      <c r="AI51" t="s">
        <v>102</v>
      </c>
    </row>
    <row r="52" spans="1:35" x14ac:dyDescent="0.25">
      <c r="A52" t="s">
        <v>299</v>
      </c>
      <c r="B52" t="s">
        <v>300</v>
      </c>
      <c r="C52" t="s">
        <v>301</v>
      </c>
      <c r="D52" t="s">
        <v>302</v>
      </c>
      <c r="E52" t="s">
        <v>137</v>
      </c>
      <c r="F52" t="s">
        <v>104</v>
      </c>
      <c r="G52" t="s">
        <v>108</v>
      </c>
      <c r="H52" t="s">
        <v>107</v>
      </c>
      <c r="I52" t="s">
        <v>103</v>
      </c>
      <c r="J52" t="s">
        <v>102</v>
      </c>
      <c r="K52" t="s">
        <v>103</v>
      </c>
      <c r="L52" t="s">
        <v>104</v>
      </c>
      <c r="M52" t="s">
        <v>102</v>
      </c>
      <c r="N52" t="s">
        <v>102</v>
      </c>
      <c r="O52" t="s">
        <v>102</v>
      </c>
      <c r="P52" t="s">
        <v>102</v>
      </c>
      <c r="Q52" t="s">
        <v>104</v>
      </c>
      <c r="R52" t="s">
        <v>102</v>
      </c>
      <c r="S52" t="s">
        <v>102</v>
      </c>
      <c r="T52" t="s">
        <v>106</v>
      </c>
      <c r="U52" t="s">
        <v>104</v>
      </c>
      <c r="V52" t="s">
        <v>102</v>
      </c>
      <c r="W52" t="s">
        <v>102</v>
      </c>
      <c r="X52" t="s">
        <v>102</v>
      </c>
      <c r="Y52" t="s">
        <v>108</v>
      </c>
      <c r="Z52" t="s">
        <v>104</v>
      </c>
      <c r="AA52" t="s">
        <v>102</v>
      </c>
      <c r="AB52" t="s">
        <v>102</v>
      </c>
      <c r="AC52" t="s">
        <v>102</v>
      </c>
      <c r="AD52" t="s">
        <v>102</v>
      </c>
      <c r="AE52" t="s">
        <v>103</v>
      </c>
      <c r="AF52" t="s">
        <v>106</v>
      </c>
      <c r="AG52" t="s">
        <v>102</v>
      </c>
      <c r="AH52" t="s">
        <v>102</v>
      </c>
      <c r="AI52" t="s">
        <v>102</v>
      </c>
    </row>
    <row r="53" spans="1:35" x14ac:dyDescent="0.25">
      <c r="A53" t="s">
        <v>303</v>
      </c>
      <c r="B53" t="s">
        <v>304</v>
      </c>
      <c r="C53" t="s">
        <v>305</v>
      </c>
      <c r="D53" t="s">
        <v>306</v>
      </c>
      <c r="E53" t="s">
        <v>141</v>
      </c>
      <c r="F53" t="s">
        <v>106</v>
      </c>
      <c r="G53" t="s">
        <v>102</v>
      </c>
      <c r="H53" t="s">
        <v>107</v>
      </c>
      <c r="I53" t="s">
        <v>102</v>
      </c>
      <c r="J53" t="s">
        <v>102</v>
      </c>
      <c r="K53" t="s">
        <v>102</v>
      </c>
      <c r="L53" t="s">
        <v>104</v>
      </c>
      <c r="M53" t="s">
        <v>102</v>
      </c>
      <c r="N53" t="s">
        <v>102</v>
      </c>
      <c r="O53" t="s">
        <v>106</v>
      </c>
      <c r="P53" t="s">
        <v>102</v>
      </c>
      <c r="Q53" t="s">
        <v>102</v>
      </c>
      <c r="R53" t="s">
        <v>102</v>
      </c>
      <c r="S53" t="s">
        <v>102</v>
      </c>
      <c r="T53" t="s">
        <v>106</v>
      </c>
      <c r="U53" t="s">
        <v>104</v>
      </c>
      <c r="V53" t="s">
        <v>104</v>
      </c>
      <c r="W53" t="s">
        <v>106</v>
      </c>
      <c r="X53" t="s">
        <v>104</v>
      </c>
      <c r="Y53" t="s">
        <v>104</v>
      </c>
      <c r="Z53" t="s">
        <v>104</v>
      </c>
      <c r="AA53" t="s">
        <v>108</v>
      </c>
      <c r="AB53" t="s">
        <v>106</v>
      </c>
      <c r="AC53" t="s">
        <v>107</v>
      </c>
      <c r="AD53" t="s">
        <v>102</v>
      </c>
      <c r="AE53" t="s">
        <v>104</v>
      </c>
      <c r="AF53" t="s">
        <v>104</v>
      </c>
      <c r="AG53" t="s">
        <v>104</v>
      </c>
      <c r="AH53" t="s">
        <v>103</v>
      </c>
      <c r="AI53" t="s">
        <v>106</v>
      </c>
    </row>
    <row r="54" spans="1:35" x14ac:dyDescent="0.25">
      <c r="A54" t="s">
        <v>307</v>
      </c>
      <c r="B54" t="s">
        <v>308</v>
      </c>
      <c r="C54" t="s">
        <v>309</v>
      </c>
      <c r="D54" t="s">
        <v>256</v>
      </c>
      <c r="E54" t="s">
        <v>137</v>
      </c>
      <c r="F54" t="s">
        <v>104</v>
      </c>
      <c r="G54" t="s">
        <v>104</v>
      </c>
      <c r="H54" t="s">
        <v>107</v>
      </c>
      <c r="I54" t="s">
        <v>107</v>
      </c>
      <c r="J54" t="s">
        <v>107</v>
      </c>
      <c r="K54" t="s">
        <v>103</v>
      </c>
      <c r="L54" t="s">
        <v>107</v>
      </c>
      <c r="M54" t="s">
        <v>102</v>
      </c>
      <c r="N54" t="s">
        <v>106</v>
      </c>
      <c r="O54" t="s">
        <v>104</v>
      </c>
      <c r="P54" t="s">
        <v>102</v>
      </c>
      <c r="Q54" t="s">
        <v>106</v>
      </c>
      <c r="R54" t="s">
        <v>106</v>
      </c>
      <c r="S54" t="s">
        <v>107</v>
      </c>
      <c r="T54" t="s">
        <v>107</v>
      </c>
      <c r="U54" t="s">
        <v>107</v>
      </c>
      <c r="V54" t="s">
        <v>104</v>
      </c>
      <c r="W54" t="s">
        <v>106</v>
      </c>
      <c r="X54" t="s">
        <v>108</v>
      </c>
      <c r="Y54" t="s">
        <v>107</v>
      </c>
      <c r="Z54" t="s">
        <v>104</v>
      </c>
      <c r="AA54" t="s">
        <v>107</v>
      </c>
      <c r="AB54" t="s">
        <v>107</v>
      </c>
      <c r="AC54" t="s">
        <v>102</v>
      </c>
      <c r="AD54" t="s">
        <v>104</v>
      </c>
      <c r="AE54" t="s">
        <v>107</v>
      </c>
      <c r="AF54" t="s">
        <v>108</v>
      </c>
      <c r="AG54" t="s">
        <v>107</v>
      </c>
      <c r="AH54" t="s">
        <v>108</v>
      </c>
      <c r="AI54" t="s">
        <v>102</v>
      </c>
    </row>
    <row r="55" spans="1:35" x14ac:dyDescent="0.25">
      <c r="A55" t="s">
        <v>310</v>
      </c>
      <c r="B55" t="s">
        <v>311</v>
      </c>
      <c r="C55" t="s">
        <v>312</v>
      </c>
      <c r="D55" t="s">
        <v>174</v>
      </c>
      <c r="E55" t="s">
        <v>137</v>
      </c>
      <c r="F55" t="s">
        <v>102</v>
      </c>
      <c r="G55" t="s">
        <v>102</v>
      </c>
      <c r="H55" t="s">
        <v>104</v>
      </c>
      <c r="I55" t="s">
        <v>102</v>
      </c>
      <c r="J55" t="s">
        <v>102</v>
      </c>
      <c r="K55" t="s">
        <v>104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106</v>
      </c>
      <c r="R55" t="s">
        <v>102</v>
      </c>
      <c r="S55" t="s">
        <v>102</v>
      </c>
      <c r="T55" t="s">
        <v>102</v>
      </c>
      <c r="U55" t="s">
        <v>104</v>
      </c>
      <c r="V55" t="s">
        <v>102</v>
      </c>
      <c r="W55" t="s">
        <v>104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  <c r="AF55" t="s">
        <v>102</v>
      </c>
      <c r="AG55" t="s">
        <v>104</v>
      </c>
      <c r="AH55" t="s">
        <v>102</v>
      </c>
      <c r="AI55" t="s">
        <v>102</v>
      </c>
    </row>
    <row r="56" spans="1:35" x14ac:dyDescent="0.25">
      <c r="A56" t="s">
        <v>313</v>
      </c>
      <c r="B56" t="s">
        <v>314</v>
      </c>
      <c r="C56" t="s">
        <v>315</v>
      </c>
      <c r="D56" t="s">
        <v>65</v>
      </c>
      <c r="E56" t="s">
        <v>316</v>
      </c>
      <c r="F56" t="s">
        <v>103</v>
      </c>
      <c r="G56" t="s">
        <v>102</v>
      </c>
      <c r="H56" t="s">
        <v>108</v>
      </c>
      <c r="I56" t="s">
        <v>103</v>
      </c>
      <c r="J56" t="s">
        <v>103</v>
      </c>
      <c r="K56" t="s">
        <v>108</v>
      </c>
      <c r="L56" t="s">
        <v>102</v>
      </c>
      <c r="M56" t="s">
        <v>107</v>
      </c>
      <c r="N56" t="s">
        <v>102</v>
      </c>
      <c r="O56" t="s">
        <v>103</v>
      </c>
      <c r="P56" t="s">
        <v>103</v>
      </c>
      <c r="Q56" t="s">
        <v>107</v>
      </c>
      <c r="R56" t="s">
        <v>103</v>
      </c>
      <c r="S56" t="s">
        <v>104</v>
      </c>
      <c r="T56" t="s">
        <v>104</v>
      </c>
      <c r="U56" t="s">
        <v>106</v>
      </c>
      <c r="V56" t="s">
        <v>103</v>
      </c>
      <c r="W56" t="s">
        <v>107</v>
      </c>
      <c r="X56" t="s">
        <v>104</v>
      </c>
      <c r="Y56" t="s">
        <v>107</v>
      </c>
      <c r="Z56" t="s">
        <v>104</v>
      </c>
      <c r="AA56" t="s">
        <v>104</v>
      </c>
      <c r="AB56" t="s">
        <v>103</v>
      </c>
      <c r="AC56" t="s">
        <v>107</v>
      </c>
      <c r="AD56" t="s">
        <v>103</v>
      </c>
      <c r="AE56" t="s">
        <v>106</v>
      </c>
      <c r="AF56" t="s">
        <v>103</v>
      </c>
      <c r="AG56" t="s">
        <v>103</v>
      </c>
      <c r="AH56" t="s">
        <v>103</v>
      </c>
      <c r="AI56" t="s">
        <v>107</v>
      </c>
    </row>
    <row r="57" spans="1:35" x14ac:dyDescent="0.25">
      <c r="A57" t="s">
        <v>317</v>
      </c>
      <c r="B57" t="s">
        <v>318</v>
      </c>
      <c r="C57" t="s">
        <v>319</v>
      </c>
      <c r="D57" t="s">
        <v>178</v>
      </c>
      <c r="E57" t="s">
        <v>320</v>
      </c>
      <c r="F57" t="s">
        <v>102</v>
      </c>
      <c r="G57" t="s">
        <v>102</v>
      </c>
      <c r="H57" t="s">
        <v>102</v>
      </c>
      <c r="I57" t="s">
        <v>102</v>
      </c>
      <c r="J57" t="s">
        <v>103</v>
      </c>
      <c r="K57" t="s">
        <v>105</v>
      </c>
      <c r="L57" t="s">
        <v>103</v>
      </c>
      <c r="M57" t="s">
        <v>103</v>
      </c>
      <c r="N57" t="s">
        <v>107</v>
      </c>
      <c r="O57" t="s">
        <v>104</v>
      </c>
      <c r="P57" t="s">
        <v>102</v>
      </c>
      <c r="Q57" t="s">
        <v>107</v>
      </c>
      <c r="R57" t="s">
        <v>107</v>
      </c>
      <c r="S57" t="s">
        <v>102</v>
      </c>
      <c r="T57" t="s">
        <v>102</v>
      </c>
      <c r="U57" t="s">
        <v>103</v>
      </c>
      <c r="V57" t="s">
        <v>102</v>
      </c>
      <c r="W57" t="s">
        <v>102</v>
      </c>
      <c r="X57" t="s">
        <v>107</v>
      </c>
      <c r="Y57" t="s">
        <v>106</v>
      </c>
      <c r="Z57" t="s">
        <v>107</v>
      </c>
      <c r="AA57" t="s">
        <v>105</v>
      </c>
      <c r="AB57" t="s">
        <v>107</v>
      </c>
      <c r="AC57" t="s">
        <v>105</v>
      </c>
      <c r="AD57" t="s">
        <v>106</v>
      </c>
      <c r="AE57" t="s">
        <v>107</v>
      </c>
      <c r="AF57" t="s">
        <v>104</v>
      </c>
      <c r="AG57" t="s">
        <v>104</v>
      </c>
      <c r="AH57" t="s">
        <v>106</v>
      </c>
      <c r="AI57" t="s">
        <v>105</v>
      </c>
    </row>
    <row r="58" spans="1:35" x14ac:dyDescent="0.25">
      <c r="A58" t="s">
        <v>321</v>
      </c>
      <c r="B58" t="s">
        <v>322</v>
      </c>
      <c r="C58" t="s">
        <v>323</v>
      </c>
      <c r="D58" t="s">
        <v>324</v>
      </c>
      <c r="E58" t="s">
        <v>161</v>
      </c>
      <c r="F58" t="s">
        <v>103</v>
      </c>
      <c r="G58" t="s">
        <v>103</v>
      </c>
      <c r="H58" t="s">
        <v>102</v>
      </c>
      <c r="I58" t="s">
        <v>102</v>
      </c>
      <c r="J58" t="s">
        <v>102</v>
      </c>
      <c r="K58" t="s">
        <v>103</v>
      </c>
      <c r="L58" t="s">
        <v>102</v>
      </c>
      <c r="M58" t="s">
        <v>102</v>
      </c>
      <c r="N58" t="s">
        <v>102</v>
      </c>
      <c r="O58" t="s">
        <v>103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106</v>
      </c>
      <c r="V58" t="s">
        <v>102</v>
      </c>
      <c r="W58" t="s">
        <v>104</v>
      </c>
      <c r="X58" t="s">
        <v>105</v>
      </c>
      <c r="Y58" t="s">
        <v>102</v>
      </c>
      <c r="Z58" t="s">
        <v>103</v>
      </c>
      <c r="AA58" t="s">
        <v>106</v>
      </c>
      <c r="AB58" t="s">
        <v>102</v>
      </c>
      <c r="AC58" t="s">
        <v>103</v>
      </c>
      <c r="AD58" t="s">
        <v>102</v>
      </c>
      <c r="AE58" t="s">
        <v>102</v>
      </c>
      <c r="AF58" t="s">
        <v>103</v>
      </c>
      <c r="AG58" t="s">
        <v>102</v>
      </c>
      <c r="AH58" t="s">
        <v>102</v>
      </c>
      <c r="AI58" t="s">
        <v>102</v>
      </c>
    </row>
    <row r="59" spans="1:35" x14ac:dyDescent="0.25">
      <c r="A59" t="s">
        <v>325</v>
      </c>
      <c r="B59" t="s">
        <v>326</v>
      </c>
      <c r="C59" t="s">
        <v>327</v>
      </c>
      <c r="D59" t="s">
        <v>328</v>
      </c>
      <c r="E59" t="s">
        <v>194</v>
      </c>
      <c r="F59" t="s">
        <v>106</v>
      </c>
      <c r="G59" t="s">
        <v>102</v>
      </c>
      <c r="H59" t="s">
        <v>103</v>
      </c>
      <c r="I59" t="s">
        <v>102</v>
      </c>
      <c r="J59" t="s">
        <v>102</v>
      </c>
      <c r="K59" t="s">
        <v>103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103</v>
      </c>
      <c r="R59" t="s">
        <v>102</v>
      </c>
      <c r="S59" t="s">
        <v>102</v>
      </c>
      <c r="T59" t="s">
        <v>102</v>
      </c>
      <c r="U59" t="s">
        <v>103</v>
      </c>
      <c r="V59" t="s">
        <v>102</v>
      </c>
      <c r="W59" t="s">
        <v>102</v>
      </c>
      <c r="X59" t="s">
        <v>106</v>
      </c>
      <c r="Y59" t="s">
        <v>103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  <c r="AF59" t="s">
        <v>102</v>
      </c>
      <c r="AG59" t="s">
        <v>102</v>
      </c>
      <c r="AH59" t="s">
        <v>103</v>
      </c>
      <c r="AI59" t="s">
        <v>102</v>
      </c>
    </row>
    <row r="60" spans="1:35" x14ac:dyDescent="0.25">
      <c r="A60" t="s">
        <v>329</v>
      </c>
      <c r="B60" t="s">
        <v>330</v>
      </c>
      <c r="C60" t="s">
        <v>331</v>
      </c>
      <c r="D60" t="s">
        <v>147</v>
      </c>
      <c r="E60" t="s">
        <v>264</v>
      </c>
      <c r="F60" t="s">
        <v>106</v>
      </c>
      <c r="G60" t="s">
        <v>106</v>
      </c>
      <c r="H60" t="s">
        <v>102</v>
      </c>
      <c r="I60" t="s">
        <v>102</v>
      </c>
      <c r="J60" t="s">
        <v>104</v>
      </c>
      <c r="K60" t="s">
        <v>102</v>
      </c>
      <c r="L60" t="s">
        <v>106</v>
      </c>
      <c r="M60" t="s">
        <v>102</v>
      </c>
      <c r="N60" t="s">
        <v>102</v>
      </c>
      <c r="O60" t="s">
        <v>103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106</v>
      </c>
      <c r="V60" t="s">
        <v>102</v>
      </c>
      <c r="W60" t="s">
        <v>102</v>
      </c>
      <c r="X60" t="s">
        <v>103</v>
      </c>
      <c r="Y60" t="s">
        <v>102</v>
      </c>
      <c r="Z60" t="s">
        <v>102</v>
      </c>
      <c r="AA60" t="s">
        <v>103</v>
      </c>
      <c r="AB60" t="s">
        <v>103</v>
      </c>
      <c r="AC60" t="s">
        <v>104</v>
      </c>
      <c r="AD60" t="s">
        <v>102</v>
      </c>
      <c r="AE60" t="s">
        <v>103</v>
      </c>
      <c r="AF60" t="s">
        <v>102</v>
      </c>
      <c r="AG60" t="s">
        <v>102</v>
      </c>
      <c r="AH60" t="s">
        <v>102</v>
      </c>
      <c r="AI60" t="s">
        <v>103</v>
      </c>
    </row>
    <row r="61" spans="1:35" x14ac:dyDescent="0.25">
      <c r="A61" t="s">
        <v>332</v>
      </c>
      <c r="B61" t="s">
        <v>333</v>
      </c>
      <c r="C61" t="s">
        <v>334</v>
      </c>
      <c r="D61" t="s">
        <v>211</v>
      </c>
      <c r="E61" t="s">
        <v>212</v>
      </c>
      <c r="F61" t="s">
        <v>102</v>
      </c>
      <c r="G61" t="s">
        <v>103</v>
      </c>
      <c r="H61" t="s">
        <v>103</v>
      </c>
      <c r="I61" t="s">
        <v>103</v>
      </c>
      <c r="J61" t="s">
        <v>103</v>
      </c>
      <c r="K61" t="s">
        <v>103</v>
      </c>
      <c r="L61" t="s">
        <v>102</v>
      </c>
      <c r="M61" t="s">
        <v>102</v>
      </c>
      <c r="N61" t="s">
        <v>102</v>
      </c>
      <c r="O61" t="s">
        <v>103</v>
      </c>
      <c r="P61" t="s">
        <v>104</v>
      </c>
      <c r="Q61" t="s">
        <v>103</v>
      </c>
      <c r="R61" t="s">
        <v>103</v>
      </c>
      <c r="S61" t="s">
        <v>106</v>
      </c>
      <c r="T61" t="s">
        <v>106</v>
      </c>
      <c r="U61" t="s">
        <v>106</v>
      </c>
      <c r="V61" t="s">
        <v>103</v>
      </c>
      <c r="W61" t="s">
        <v>103</v>
      </c>
      <c r="X61" t="s">
        <v>103</v>
      </c>
      <c r="Y61" t="s">
        <v>103</v>
      </c>
      <c r="Z61" t="s">
        <v>103</v>
      </c>
      <c r="AA61" t="s">
        <v>106</v>
      </c>
      <c r="AB61" t="s">
        <v>106</v>
      </c>
      <c r="AC61" t="s">
        <v>103</v>
      </c>
      <c r="AD61" t="s">
        <v>103</v>
      </c>
      <c r="AE61" t="s">
        <v>103</v>
      </c>
      <c r="AF61" t="s">
        <v>103</v>
      </c>
      <c r="AG61" t="s">
        <v>103</v>
      </c>
      <c r="AH61" t="s">
        <v>106</v>
      </c>
      <c r="AI61" t="s">
        <v>106</v>
      </c>
    </row>
    <row r="62" spans="1:35" x14ac:dyDescent="0.25">
      <c r="A62" t="s">
        <v>335</v>
      </c>
      <c r="B62" t="s">
        <v>336</v>
      </c>
      <c r="C62" t="s">
        <v>337</v>
      </c>
      <c r="D62" t="s">
        <v>338</v>
      </c>
      <c r="E62" t="s">
        <v>264</v>
      </c>
      <c r="F62" t="s">
        <v>102</v>
      </c>
      <c r="G62" t="s">
        <v>102</v>
      </c>
      <c r="H62" t="s">
        <v>102</v>
      </c>
      <c r="I62" t="s">
        <v>102</v>
      </c>
      <c r="J62" t="s">
        <v>102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103</v>
      </c>
      <c r="V62" t="s">
        <v>102</v>
      </c>
      <c r="W62" t="s">
        <v>102</v>
      </c>
      <c r="X62" t="s">
        <v>102</v>
      </c>
      <c r="Y62" t="s">
        <v>102</v>
      </c>
      <c r="Z62" t="s">
        <v>103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  <c r="AF62" t="s">
        <v>102</v>
      </c>
      <c r="AG62" t="s">
        <v>102</v>
      </c>
      <c r="AH62" t="s">
        <v>102</v>
      </c>
      <c r="AI62" t="s">
        <v>102</v>
      </c>
    </row>
    <row r="63" spans="1:35" x14ac:dyDescent="0.25">
      <c r="A63" t="s">
        <v>339</v>
      </c>
      <c r="B63" t="s">
        <v>340</v>
      </c>
      <c r="C63" t="s">
        <v>341</v>
      </c>
      <c r="D63" t="s">
        <v>342</v>
      </c>
      <c r="E63" t="s">
        <v>343</v>
      </c>
      <c r="F63" t="s">
        <v>103</v>
      </c>
      <c r="G63" t="s">
        <v>106</v>
      </c>
      <c r="H63" t="s">
        <v>106</v>
      </c>
      <c r="I63" t="s">
        <v>103</v>
      </c>
      <c r="J63" t="s">
        <v>106</v>
      </c>
      <c r="K63" t="s">
        <v>103</v>
      </c>
      <c r="L63" t="s">
        <v>102</v>
      </c>
      <c r="M63" t="s">
        <v>102</v>
      </c>
      <c r="N63" t="s">
        <v>103</v>
      </c>
      <c r="O63" t="s">
        <v>106</v>
      </c>
      <c r="P63" t="s">
        <v>102</v>
      </c>
      <c r="Q63" t="s">
        <v>102</v>
      </c>
      <c r="R63" t="s">
        <v>106</v>
      </c>
      <c r="S63" t="s">
        <v>102</v>
      </c>
      <c r="T63" t="s">
        <v>106</v>
      </c>
      <c r="U63" t="s">
        <v>106</v>
      </c>
      <c r="V63" t="s">
        <v>102</v>
      </c>
      <c r="W63" t="s">
        <v>102</v>
      </c>
      <c r="X63" t="s">
        <v>103</v>
      </c>
      <c r="Y63" t="s">
        <v>102</v>
      </c>
      <c r="Z63" t="s">
        <v>102</v>
      </c>
      <c r="AA63" t="s">
        <v>103</v>
      </c>
      <c r="AB63" t="s">
        <v>106</v>
      </c>
      <c r="AC63" t="s">
        <v>106</v>
      </c>
      <c r="AD63" t="s">
        <v>103</v>
      </c>
      <c r="AE63" t="s">
        <v>102</v>
      </c>
      <c r="AF63" t="s">
        <v>103</v>
      </c>
      <c r="AG63" t="s">
        <v>103</v>
      </c>
      <c r="AH63" t="s">
        <v>102</v>
      </c>
      <c r="AI63" t="s">
        <v>103</v>
      </c>
    </row>
    <row r="64" spans="1:35" x14ac:dyDescent="0.25">
      <c r="A64" t="s">
        <v>344</v>
      </c>
      <c r="B64" t="s">
        <v>345</v>
      </c>
      <c r="C64" t="s">
        <v>346</v>
      </c>
      <c r="D64" t="s">
        <v>347</v>
      </c>
      <c r="E64" t="s">
        <v>348</v>
      </c>
      <c r="F64" t="s">
        <v>103</v>
      </c>
      <c r="G64" t="s">
        <v>102</v>
      </c>
      <c r="H64" t="s">
        <v>103</v>
      </c>
      <c r="I64" t="s">
        <v>103</v>
      </c>
      <c r="J64" t="s">
        <v>102</v>
      </c>
      <c r="K64" t="s">
        <v>103</v>
      </c>
      <c r="L64" t="s">
        <v>103</v>
      </c>
      <c r="M64" t="s">
        <v>102</v>
      </c>
      <c r="N64" t="s">
        <v>102</v>
      </c>
      <c r="O64" t="s">
        <v>103</v>
      </c>
      <c r="P64" t="s">
        <v>102</v>
      </c>
      <c r="Q64" t="s">
        <v>103</v>
      </c>
      <c r="R64" t="s">
        <v>102</v>
      </c>
      <c r="S64" t="s">
        <v>102</v>
      </c>
      <c r="T64" t="s">
        <v>102</v>
      </c>
      <c r="U64" t="s">
        <v>103</v>
      </c>
      <c r="V64" t="s">
        <v>102</v>
      </c>
      <c r="W64" t="s">
        <v>103</v>
      </c>
      <c r="X64" t="s">
        <v>103</v>
      </c>
      <c r="Y64" t="s">
        <v>102</v>
      </c>
      <c r="Z64" t="s">
        <v>103</v>
      </c>
      <c r="AA64" t="s">
        <v>103</v>
      </c>
      <c r="AB64" t="s">
        <v>103</v>
      </c>
      <c r="AC64" t="s">
        <v>102</v>
      </c>
      <c r="AD64" t="s">
        <v>102</v>
      </c>
      <c r="AE64" t="s">
        <v>103</v>
      </c>
      <c r="AF64" t="s">
        <v>103</v>
      </c>
      <c r="AG64" t="s">
        <v>103</v>
      </c>
      <c r="AH64" t="s">
        <v>102</v>
      </c>
      <c r="AI64" t="s">
        <v>102</v>
      </c>
    </row>
    <row r="65" spans="1:35" x14ac:dyDescent="0.25">
      <c r="A65" t="s">
        <v>349</v>
      </c>
      <c r="B65" t="s">
        <v>350</v>
      </c>
      <c r="C65" t="s">
        <v>351</v>
      </c>
      <c r="D65" t="s">
        <v>211</v>
      </c>
      <c r="E65" t="s">
        <v>352</v>
      </c>
      <c r="F65" t="s">
        <v>103</v>
      </c>
      <c r="G65" t="s">
        <v>106</v>
      </c>
      <c r="H65" t="s">
        <v>103</v>
      </c>
      <c r="I65" t="s">
        <v>106</v>
      </c>
      <c r="J65" t="s">
        <v>104</v>
      </c>
      <c r="K65" t="s">
        <v>102</v>
      </c>
      <c r="L65" t="s">
        <v>104</v>
      </c>
      <c r="M65" t="s">
        <v>106</v>
      </c>
      <c r="N65" t="s">
        <v>104</v>
      </c>
      <c r="O65" t="s">
        <v>106</v>
      </c>
      <c r="P65" t="s">
        <v>103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106</v>
      </c>
      <c r="X65" t="s">
        <v>107</v>
      </c>
      <c r="Y65" t="s">
        <v>106</v>
      </c>
      <c r="Z65" t="s">
        <v>104</v>
      </c>
      <c r="AA65" t="s">
        <v>106</v>
      </c>
      <c r="AB65" t="s">
        <v>107</v>
      </c>
      <c r="AC65" t="s">
        <v>104</v>
      </c>
      <c r="AD65" t="s">
        <v>104</v>
      </c>
      <c r="AE65" t="s">
        <v>104</v>
      </c>
      <c r="AF65" t="s">
        <v>104</v>
      </c>
      <c r="AG65" t="s">
        <v>104</v>
      </c>
      <c r="AH65" t="s">
        <v>107</v>
      </c>
      <c r="AI65" t="s">
        <v>104</v>
      </c>
    </row>
    <row r="66" spans="1:35" x14ac:dyDescent="0.25">
      <c r="A66" t="s">
        <v>353</v>
      </c>
      <c r="B66" t="s">
        <v>354</v>
      </c>
      <c r="C66" t="s">
        <v>355</v>
      </c>
      <c r="D66" t="s">
        <v>211</v>
      </c>
      <c r="E66" t="s">
        <v>356</v>
      </c>
      <c r="F66" t="s">
        <v>102</v>
      </c>
      <c r="G66" t="s">
        <v>102</v>
      </c>
      <c r="H66" t="s">
        <v>102</v>
      </c>
      <c r="I66" t="s">
        <v>102</v>
      </c>
      <c r="J66" t="s">
        <v>102</v>
      </c>
      <c r="K66" t="s">
        <v>102</v>
      </c>
      <c r="L66" t="s">
        <v>102</v>
      </c>
      <c r="M66" t="s">
        <v>102</v>
      </c>
      <c r="N66" t="s">
        <v>102</v>
      </c>
      <c r="O66" t="s">
        <v>103</v>
      </c>
      <c r="P66" t="s">
        <v>102</v>
      </c>
      <c r="Q66" t="s">
        <v>103</v>
      </c>
      <c r="R66" t="s">
        <v>106</v>
      </c>
      <c r="S66" t="s">
        <v>102</v>
      </c>
      <c r="T66" t="s">
        <v>106</v>
      </c>
      <c r="U66" t="s">
        <v>103</v>
      </c>
      <c r="V66" t="s">
        <v>102</v>
      </c>
      <c r="W66" t="s">
        <v>102</v>
      </c>
      <c r="X66" t="s">
        <v>102</v>
      </c>
      <c r="Y66" t="s">
        <v>102</v>
      </c>
      <c r="Z66" t="s">
        <v>103</v>
      </c>
      <c r="AA66" t="s">
        <v>104</v>
      </c>
      <c r="AB66" t="s">
        <v>102</v>
      </c>
      <c r="AC66" t="s">
        <v>102</v>
      </c>
      <c r="AD66" t="s">
        <v>102</v>
      </c>
      <c r="AE66" t="s">
        <v>102</v>
      </c>
      <c r="AF66" t="s">
        <v>104</v>
      </c>
      <c r="AG66" t="s">
        <v>102</v>
      </c>
      <c r="AH66" t="s">
        <v>102</v>
      </c>
      <c r="AI66" t="s">
        <v>102</v>
      </c>
    </row>
    <row r="67" spans="1:35" x14ac:dyDescent="0.25">
      <c r="A67" t="s">
        <v>357</v>
      </c>
      <c r="B67" t="s">
        <v>358</v>
      </c>
      <c r="C67" t="s">
        <v>359</v>
      </c>
      <c r="D67" t="s">
        <v>126</v>
      </c>
      <c r="E67" t="s">
        <v>360</v>
      </c>
      <c r="F67" t="s">
        <v>102</v>
      </c>
      <c r="G67" t="s">
        <v>102</v>
      </c>
      <c r="H67" t="s">
        <v>102</v>
      </c>
      <c r="I67" t="s">
        <v>102</v>
      </c>
      <c r="J67" t="s">
        <v>102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105</v>
      </c>
      <c r="AD67" t="s">
        <v>102</v>
      </c>
      <c r="AE67" t="s">
        <v>102</v>
      </c>
      <c r="AF67" t="s">
        <v>102</v>
      </c>
      <c r="AG67" t="s">
        <v>104</v>
      </c>
      <c r="AH67" t="s">
        <v>102</v>
      </c>
      <c r="AI67" t="s">
        <v>102</v>
      </c>
    </row>
    <row r="68" spans="1:35" x14ac:dyDescent="0.25">
      <c r="A68" t="s">
        <v>361</v>
      </c>
      <c r="B68" t="s">
        <v>362</v>
      </c>
      <c r="C68" t="s">
        <v>363</v>
      </c>
      <c r="D68" t="s">
        <v>174</v>
      </c>
      <c r="E68" t="s">
        <v>137</v>
      </c>
      <c r="F68" t="s">
        <v>103</v>
      </c>
      <c r="G68" t="s">
        <v>103</v>
      </c>
      <c r="H68" t="s">
        <v>102</v>
      </c>
      <c r="I68" t="s">
        <v>103</v>
      </c>
      <c r="J68" t="s">
        <v>106</v>
      </c>
      <c r="K68" t="s">
        <v>102</v>
      </c>
      <c r="L68" t="s">
        <v>103</v>
      </c>
      <c r="M68" t="s">
        <v>102</v>
      </c>
      <c r="N68" t="s">
        <v>102</v>
      </c>
      <c r="O68" t="s">
        <v>103</v>
      </c>
      <c r="P68" t="s">
        <v>106</v>
      </c>
      <c r="Q68" t="s">
        <v>102</v>
      </c>
      <c r="R68" t="s">
        <v>103</v>
      </c>
      <c r="S68" t="s">
        <v>103</v>
      </c>
      <c r="T68" t="s">
        <v>103</v>
      </c>
      <c r="U68" t="s">
        <v>103</v>
      </c>
      <c r="V68" t="s">
        <v>103</v>
      </c>
      <c r="W68" t="s">
        <v>106</v>
      </c>
      <c r="X68" t="s">
        <v>106</v>
      </c>
      <c r="Y68" t="s">
        <v>104</v>
      </c>
      <c r="Z68" t="s">
        <v>103</v>
      </c>
      <c r="AA68" t="s">
        <v>106</v>
      </c>
      <c r="AB68" t="s">
        <v>103</v>
      </c>
      <c r="AC68" t="s">
        <v>103</v>
      </c>
      <c r="AD68" t="s">
        <v>103</v>
      </c>
      <c r="AE68" t="s">
        <v>103</v>
      </c>
      <c r="AF68" t="s">
        <v>104</v>
      </c>
      <c r="AG68" t="s">
        <v>103</v>
      </c>
      <c r="AH68" t="s">
        <v>106</v>
      </c>
      <c r="AI68" t="s">
        <v>102</v>
      </c>
    </row>
    <row r="69" spans="1:35" x14ac:dyDescent="0.25">
      <c r="A69" t="s">
        <v>364</v>
      </c>
      <c r="B69" t="s">
        <v>365</v>
      </c>
      <c r="C69" t="s">
        <v>366</v>
      </c>
      <c r="D69" t="s">
        <v>256</v>
      </c>
      <c r="E69" t="s">
        <v>137</v>
      </c>
      <c r="F69" t="s">
        <v>106</v>
      </c>
      <c r="G69" t="s">
        <v>103</v>
      </c>
      <c r="H69" t="s">
        <v>106</v>
      </c>
      <c r="I69" t="s">
        <v>103</v>
      </c>
      <c r="J69" t="s">
        <v>106</v>
      </c>
      <c r="K69" t="s">
        <v>104</v>
      </c>
      <c r="L69" t="s">
        <v>102</v>
      </c>
      <c r="M69" t="s">
        <v>102</v>
      </c>
      <c r="N69" t="s">
        <v>102</v>
      </c>
      <c r="O69" t="s">
        <v>103</v>
      </c>
      <c r="P69" t="s">
        <v>103</v>
      </c>
      <c r="Q69" t="s">
        <v>107</v>
      </c>
      <c r="R69" t="s">
        <v>103</v>
      </c>
      <c r="S69" t="s">
        <v>102</v>
      </c>
      <c r="T69" t="s">
        <v>106</v>
      </c>
      <c r="U69" t="s">
        <v>104</v>
      </c>
      <c r="V69" t="s">
        <v>102</v>
      </c>
      <c r="W69" t="s">
        <v>102</v>
      </c>
      <c r="X69" t="s">
        <v>102</v>
      </c>
      <c r="Y69" t="s">
        <v>102</v>
      </c>
      <c r="Z69" t="s">
        <v>103</v>
      </c>
      <c r="AA69" t="s">
        <v>106</v>
      </c>
      <c r="AB69" t="s">
        <v>106</v>
      </c>
      <c r="AC69" t="s">
        <v>104</v>
      </c>
      <c r="AD69" t="s">
        <v>103</v>
      </c>
      <c r="AE69" t="s">
        <v>103</v>
      </c>
      <c r="AF69" t="s">
        <v>104</v>
      </c>
      <c r="AG69" t="s">
        <v>102</v>
      </c>
      <c r="AH69" t="s">
        <v>106</v>
      </c>
      <c r="AI69" t="s">
        <v>104</v>
      </c>
    </row>
    <row r="70" spans="1:35" x14ac:dyDescent="0.25">
      <c r="A70" t="s">
        <v>367</v>
      </c>
      <c r="B70" t="s">
        <v>368</v>
      </c>
      <c r="C70" t="s">
        <v>369</v>
      </c>
      <c r="D70" t="s">
        <v>370</v>
      </c>
      <c r="E70" t="s">
        <v>371</v>
      </c>
      <c r="F70" t="s">
        <v>106</v>
      </c>
      <c r="G70" t="s">
        <v>102</v>
      </c>
      <c r="H70" t="s">
        <v>106</v>
      </c>
      <c r="I70" t="s">
        <v>103</v>
      </c>
      <c r="J70" t="s">
        <v>102</v>
      </c>
      <c r="K70" t="s">
        <v>104</v>
      </c>
      <c r="L70" t="s">
        <v>103</v>
      </c>
      <c r="M70" t="s">
        <v>102</v>
      </c>
      <c r="N70" t="s">
        <v>102</v>
      </c>
      <c r="O70" t="s">
        <v>102</v>
      </c>
      <c r="P70" t="s">
        <v>102</v>
      </c>
      <c r="Q70" t="s">
        <v>104</v>
      </c>
      <c r="R70" t="s">
        <v>102</v>
      </c>
      <c r="S70" t="s">
        <v>107</v>
      </c>
      <c r="T70" t="s">
        <v>102</v>
      </c>
      <c r="U70" t="s">
        <v>103</v>
      </c>
      <c r="V70" t="s">
        <v>102</v>
      </c>
      <c r="W70" t="s">
        <v>102</v>
      </c>
      <c r="X70" t="s">
        <v>102</v>
      </c>
      <c r="Y70" t="s">
        <v>102</v>
      </c>
      <c r="Z70" t="s">
        <v>103</v>
      </c>
      <c r="AA70" t="s">
        <v>102</v>
      </c>
      <c r="AB70" t="s">
        <v>103</v>
      </c>
      <c r="AC70" t="s">
        <v>103</v>
      </c>
      <c r="AD70" t="s">
        <v>102</v>
      </c>
      <c r="AE70" t="s">
        <v>102</v>
      </c>
      <c r="AF70" t="s">
        <v>103</v>
      </c>
      <c r="AG70" t="s">
        <v>102</v>
      </c>
      <c r="AH70" t="s">
        <v>102</v>
      </c>
      <c r="AI70" t="s">
        <v>102</v>
      </c>
    </row>
    <row r="71" spans="1:35" x14ac:dyDescent="0.25">
      <c r="A71" t="s">
        <v>372</v>
      </c>
      <c r="B71" t="s">
        <v>373</v>
      </c>
      <c r="C71" t="s">
        <v>374</v>
      </c>
      <c r="D71" t="s">
        <v>256</v>
      </c>
      <c r="E71" t="s">
        <v>137</v>
      </c>
      <c r="F71" t="s">
        <v>102</v>
      </c>
      <c r="G71" t="s">
        <v>103</v>
      </c>
      <c r="H71" t="s">
        <v>103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103</v>
      </c>
      <c r="O71" t="s">
        <v>103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103</v>
      </c>
      <c r="V71" t="s">
        <v>102</v>
      </c>
      <c r="W71" t="s">
        <v>102</v>
      </c>
      <c r="X71" t="s">
        <v>102</v>
      </c>
      <c r="Y71" t="s">
        <v>102</v>
      </c>
      <c r="Z71" t="s">
        <v>106</v>
      </c>
      <c r="AA71" t="s">
        <v>106</v>
      </c>
      <c r="AB71" t="s">
        <v>103</v>
      </c>
      <c r="AC71" t="s">
        <v>103</v>
      </c>
      <c r="AD71" t="s">
        <v>103</v>
      </c>
      <c r="AE71" t="s">
        <v>103</v>
      </c>
      <c r="AF71" t="s">
        <v>104</v>
      </c>
      <c r="AG71" t="s">
        <v>106</v>
      </c>
      <c r="AH71" t="s">
        <v>104</v>
      </c>
      <c r="AI71" t="s">
        <v>102</v>
      </c>
    </row>
    <row r="72" spans="1:35" x14ac:dyDescent="0.25">
      <c r="A72" t="s">
        <v>375</v>
      </c>
      <c r="B72" t="s">
        <v>376</v>
      </c>
      <c r="C72" t="s">
        <v>377</v>
      </c>
      <c r="D72" t="s">
        <v>211</v>
      </c>
      <c r="E72" t="s">
        <v>352</v>
      </c>
      <c r="F72" t="s">
        <v>106</v>
      </c>
      <c r="G72" t="s">
        <v>102</v>
      </c>
      <c r="H72" t="s">
        <v>102</v>
      </c>
      <c r="I72" t="s">
        <v>102</v>
      </c>
      <c r="J72" t="s">
        <v>106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103</v>
      </c>
      <c r="Q72" t="s">
        <v>102</v>
      </c>
      <c r="R72" t="s">
        <v>102</v>
      </c>
      <c r="S72" t="s">
        <v>102</v>
      </c>
      <c r="T72" t="s">
        <v>104</v>
      </c>
      <c r="U72" t="s">
        <v>104</v>
      </c>
      <c r="V72" t="s">
        <v>102</v>
      </c>
      <c r="W72" t="s">
        <v>102</v>
      </c>
      <c r="X72" t="s">
        <v>102</v>
      </c>
      <c r="Y72" t="s">
        <v>103</v>
      </c>
      <c r="Z72" t="s">
        <v>104</v>
      </c>
      <c r="AA72" t="s">
        <v>104</v>
      </c>
      <c r="AB72" t="s">
        <v>103</v>
      </c>
      <c r="AC72" t="s">
        <v>103</v>
      </c>
      <c r="AD72" t="s">
        <v>102</v>
      </c>
      <c r="AE72" t="s">
        <v>104</v>
      </c>
      <c r="AF72" t="s">
        <v>103</v>
      </c>
      <c r="AG72" t="s">
        <v>106</v>
      </c>
      <c r="AH72" t="s">
        <v>104</v>
      </c>
      <c r="AI72" t="s">
        <v>102</v>
      </c>
    </row>
    <row r="73" spans="1:35" x14ac:dyDescent="0.25">
      <c r="A73" t="s">
        <v>378</v>
      </c>
      <c r="B73" t="s">
        <v>379</v>
      </c>
      <c r="C73" t="s">
        <v>380</v>
      </c>
      <c r="D73" t="s">
        <v>174</v>
      </c>
      <c r="E73" t="s">
        <v>137</v>
      </c>
      <c r="F73" t="s">
        <v>102</v>
      </c>
      <c r="G73" t="s">
        <v>102</v>
      </c>
      <c r="H73" t="s">
        <v>103</v>
      </c>
      <c r="I73" t="s">
        <v>102</v>
      </c>
      <c r="J73" t="s">
        <v>102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103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103</v>
      </c>
      <c r="AA73" t="s">
        <v>103</v>
      </c>
      <c r="AB73" t="s">
        <v>102</v>
      </c>
      <c r="AC73" t="s">
        <v>102</v>
      </c>
      <c r="AD73" t="s">
        <v>102</v>
      </c>
      <c r="AE73" t="s">
        <v>102</v>
      </c>
      <c r="AF73" t="s">
        <v>106</v>
      </c>
      <c r="AG73" t="s">
        <v>102</v>
      </c>
      <c r="AH73" t="s">
        <v>103</v>
      </c>
      <c r="AI73" t="s">
        <v>102</v>
      </c>
    </row>
    <row r="74" spans="1:35" x14ac:dyDescent="0.25">
      <c r="A74" t="s">
        <v>381</v>
      </c>
      <c r="B74" t="s">
        <v>382</v>
      </c>
      <c r="C74" t="s">
        <v>383</v>
      </c>
      <c r="D74" t="s">
        <v>384</v>
      </c>
      <c r="E74" t="s">
        <v>385</v>
      </c>
      <c r="F74" t="s">
        <v>102</v>
      </c>
      <c r="G74" t="s">
        <v>102</v>
      </c>
      <c r="H74" t="s">
        <v>104</v>
      </c>
      <c r="I74" t="s">
        <v>102</v>
      </c>
      <c r="J74" t="s">
        <v>103</v>
      </c>
      <c r="K74" t="s">
        <v>102</v>
      </c>
      <c r="L74" t="s">
        <v>102</v>
      </c>
      <c r="M74" t="s">
        <v>103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106</v>
      </c>
      <c r="U74" t="s">
        <v>106</v>
      </c>
      <c r="V74" t="s">
        <v>102</v>
      </c>
      <c r="W74" t="s">
        <v>102</v>
      </c>
      <c r="X74" t="s">
        <v>102</v>
      </c>
      <c r="Y74" t="s">
        <v>102</v>
      </c>
      <c r="Z74" t="s">
        <v>106</v>
      </c>
      <c r="AA74" t="s">
        <v>106</v>
      </c>
      <c r="AB74" t="s">
        <v>102</v>
      </c>
      <c r="AC74" t="s">
        <v>102</v>
      </c>
      <c r="AD74" t="s">
        <v>102</v>
      </c>
      <c r="AE74" t="s">
        <v>102</v>
      </c>
      <c r="AF74" t="s">
        <v>102</v>
      </c>
      <c r="AG74" t="s">
        <v>102</v>
      </c>
      <c r="AH74" t="s">
        <v>102</v>
      </c>
      <c r="AI74" t="s">
        <v>102</v>
      </c>
    </row>
    <row r="75" spans="1:35" x14ac:dyDescent="0.25">
      <c r="A75" t="s">
        <v>386</v>
      </c>
      <c r="B75" t="s">
        <v>387</v>
      </c>
      <c r="C75" t="s">
        <v>388</v>
      </c>
      <c r="D75" t="s">
        <v>211</v>
      </c>
      <c r="E75" t="s">
        <v>389</v>
      </c>
      <c r="F75" t="s">
        <v>102</v>
      </c>
      <c r="G75" t="s">
        <v>102</v>
      </c>
      <c r="H75" t="s">
        <v>102</v>
      </c>
      <c r="I75" t="s">
        <v>103</v>
      </c>
      <c r="J75" t="s">
        <v>106</v>
      </c>
      <c r="K75" t="s">
        <v>104</v>
      </c>
      <c r="L75" t="s">
        <v>102</v>
      </c>
      <c r="M75" t="s">
        <v>102</v>
      </c>
      <c r="N75" t="s">
        <v>103</v>
      </c>
      <c r="O75" t="s">
        <v>103</v>
      </c>
      <c r="P75" t="s">
        <v>103</v>
      </c>
      <c r="Q75" t="s">
        <v>105</v>
      </c>
      <c r="R75" t="s">
        <v>102</v>
      </c>
      <c r="S75" t="s">
        <v>103</v>
      </c>
      <c r="T75" t="s">
        <v>106</v>
      </c>
      <c r="U75" t="s">
        <v>104</v>
      </c>
      <c r="V75" t="s">
        <v>102</v>
      </c>
      <c r="W75" t="s">
        <v>104</v>
      </c>
      <c r="X75" t="s">
        <v>102</v>
      </c>
      <c r="Y75" t="s">
        <v>103</v>
      </c>
      <c r="Z75" t="s">
        <v>106</v>
      </c>
      <c r="AA75" t="s">
        <v>103</v>
      </c>
      <c r="AB75" t="s">
        <v>102</v>
      </c>
      <c r="AC75" t="s">
        <v>106</v>
      </c>
      <c r="AD75" t="s">
        <v>102</v>
      </c>
      <c r="AE75" t="s">
        <v>102</v>
      </c>
      <c r="AF75" t="s">
        <v>106</v>
      </c>
      <c r="AG75" t="s">
        <v>102</v>
      </c>
      <c r="AH75" t="s">
        <v>103</v>
      </c>
      <c r="AI75" t="s">
        <v>103</v>
      </c>
    </row>
    <row r="76" spans="1:35" x14ac:dyDescent="0.25">
      <c r="A76" t="s">
        <v>390</v>
      </c>
      <c r="B76" t="s">
        <v>391</v>
      </c>
      <c r="C76" t="s">
        <v>392</v>
      </c>
      <c r="D76" t="s">
        <v>67</v>
      </c>
      <c r="E76" t="s">
        <v>393</v>
      </c>
      <c r="F76" t="s">
        <v>103</v>
      </c>
      <c r="G76" t="s">
        <v>102</v>
      </c>
      <c r="H76" t="s">
        <v>102</v>
      </c>
      <c r="I76" t="s">
        <v>103</v>
      </c>
      <c r="J76" t="s">
        <v>102</v>
      </c>
      <c r="K76" t="s">
        <v>103</v>
      </c>
      <c r="L76" t="s">
        <v>102</v>
      </c>
      <c r="M76" t="s">
        <v>102</v>
      </c>
      <c r="N76" t="s">
        <v>102</v>
      </c>
      <c r="O76" t="s">
        <v>103</v>
      </c>
      <c r="P76" t="s">
        <v>102</v>
      </c>
      <c r="Q76" t="s">
        <v>103</v>
      </c>
      <c r="R76" t="s">
        <v>102</v>
      </c>
      <c r="S76" t="s">
        <v>103</v>
      </c>
      <c r="T76" t="s">
        <v>103</v>
      </c>
      <c r="U76" t="s">
        <v>104</v>
      </c>
      <c r="V76" t="s">
        <v>102</v>
      </c>
      <c r="W76" t="s">
        <v>102</v>
      </c>
      <c r="X76" t="s">
        <v>103</v>
      </c>
      <c r="Y76" t="s">
        <v>102</v>
      </c>
      <c r="Z76" t="s">
        <v>103</v>
      </c>
      <c r="AA76" t="s">
        <v>103</v>
      </c>
      <c r="AB76" t="s">
        <v>103</v>
      </c>
      <c r="AC76" t="s">
        <v>106</v>
      </c>
      <c r="AD76" t="s">
        <v>102</v>
      </c>
      <c r="AE76" t="s">
        <v>102</v>
      </c>
      <c r="AF76" t="s">
        <v>103</v>
      </c>
      <c r="AG76" t="s">
        <v>104</v>
      </c>
      <c r="AH76" t="s">
        <v>103</v>
      </c>
      <c r="AI76" t="s">
        <v>102</v>
      </c>
    </row>
    <row r="77" spans="1:35" x14ac:dyDescent="0.25">
      <c r="A77" t="s">
        <v>394</v>
      </c>
      <c r="B77" t="s">
        <v>395</v>
      </c>
      <c r="C77" t="s">
        <v>396</v>
      </c>
      <c r="D77" t="s">
        <v>397</v>
      </c>
      <c r="E77" t="s">
        <v>137</v>
      </c>
      <c r="F77" t="s">
        <v>107</v>
      </c>
      <c r="G77" t="s">
        <v>104</v>
      </c>
      <c r="H77" t="s">
        <v>104</v>
      </c>
      <c r="I77" t="s">
        <v>104</v>
      </c>
      <c r="J77" t="s">
        <v>104</v>
      </c>
      <c r="K77" t="s">
        <v>102</v>
      </c>
      <c r="L77" t="s">
        <v>107</v>
      </c>
      <c r="M77" t="s">
        <v>104</v>
      </c>
      <c r="N77" t="s">
        <v>104</v>
      </c>
      <c r="O77" t="s">
        <v>104</v>
      </c>
      <c r="P77" t="s">
        <v>108</v>
      </c>
      <c r="Q77" t="s">
        <v>107</v>
      </c>
      <c r="R77" t="s">
        <v>104</v>
      </c>
      <c r="S77" t="s">
        <v>106</v>
      </c>
      <c r="T77" t="s">
        <v>108</v>
      </c>
      <c r="U77" t="s">
        <v>107</v>
      </c>
      <c r="V77" t="s">
        <v>106</v>
      </c>
      <c r="W77" t="s">
        <v>104</v>
      </c>
      <c r="X77" t="s">
        <v>102</v>
      </c>
      <c r="Y77" t="s">
        <v>104</v>
      </c>
      <c r="Z77" t="s">
        <v>108</v>
      </c>
      <c r="AA77" t="s">
        <v>107</v>
      </c>
      <c r="AB77" t="s">
        <v>104</v>
      </c>
      <c r="AC77" t="s">
        <v>104</v>
      </c>
      <c r="AD77" t="s">
        <v>104</v>
      </c>
      <c r="AE77" t="s">
        <v>104</v>
      </c>
      <c r="AF77" t="s">
        <v>105</v>
      </c>
      <c r="AG77" t="s">
        <v>104</v>
      </c>
      <c r="AH77" t="s">
        <v>104</v>
      </c>
      <c r="AI77" t="s">
        <v>102</v>
      </c>
    </row>
    <row r="78" spans="1:35" x14ac:dyDescent="0.25">
      <c r="A78" t="s">
        <v>398</v>
      </c>
      <c r="B78" t="s">
        <v>399</v>
      </c>
      <c r="C78" t="s">
        <v>400</v>
      </c>
      <c r="D78" t="s">
        <v>126</v>
      </c>
      <c r="E78" t="s">
        <v>127</v>
      </c>
      <c r="F78" t="s">
        <v>104</v>
      </c>
      <c r="G78" t="s">
        <v>104</v>
      </c>
      <c r="H78" t="s">
        <v>103</v>
      </c>
      <c r="I78" t="s">
        <v>103</v>
      </c>
      <c r="J78" t="s">
        <v>103</v>
      </c>
      <c r="K78" t="s">
        <v>104</v>
      </c>
      <c r="L78" t="s">
        <v>102</v>
      </c>
      <c r="M78" t="s">
        <v>103</v>
      </c>
      <c r="N78" t="s">
        <v>107</v>
      </c>
      <c r="O78" t="s">
        <v>106</v>
      </c>
      <c r="P78" t="s">
        <v>102</v>
      </c>
      <c r="Q78" t="s">
        <v>104</v>
      </c>
      <c r="R78" t="s">
        <v>102</v>
      </c>
      <c r="S78" t="s">
        <v>106</v>
      </c>
      <c r="T78" t="s">
        <v>106</v>
      </c>
      <c r="U78" t="s">
        <v>103</v>
      </c>
      <c r="V78" t="s">
        <v>107</v>
      </c>
      <c r="W78" t="s">
        <v>103</v>
      </c>
      <c r="X78" t="s">
        <v>102</v>
      </c>
      <c r="Y78" t="s">
        <v>104</v>
      </c>
      <c r="Z78" t="s">
        <v>104</v>
      </c>
      <c r="AA78" t="s">
        <v>106</v>
      </c>
      <c r="AB78" t="s">
        <v>108</v>
      </c>
      <c r="AC78" t="s">
        <v>106</v>
      </c>
      <c r="AD78" t="s">
        <v>106</v>
      </c>
      <c r="AE78" t="s">
        <v>108</v>
      </c>
      <c r="AF78" t="s">
        <v>103</v>
      </c>
      <c r="AG78" t="s">
        <v>102</v>
      </c>
      <c r="AH78" t="s">
        <v>108</v>
      </c>
      <c r="AI78" t="s">
        <v>104</v>
      </c>
    </row>
    <row r="79" spans="1:35" x14ac:dyDescent="0.25">
      <c r="A79" t="s">
        <v>401</v>
      </c>
      <c r="B79" t="s">
        <v>402</v>
      </c>
      <c r="C79" t="s">
        <v>403</v>
      </c>
      <c r="D79" t="s">
        <v>404</v>
      </c>
      <c r="E79" t="s">
        <v>405</v>
      </c>
      <c r="F79" t="s">
        <v>106</v>
      </c>
      <c r="G79" t="s">
        <v>103</v>
      </c>
      <c r="H79" t="s">
        <v>104</v>
      </c>
      <c r="I79" t="s">
        <v>104</v>
      </c>
      <c r="J79" t="s">
        <v>103</v>
      </c>
      <c r="K79" t="s">
        <v>107</v>
      </c>
      <c r="L79" t="s">
        <v>103</v>
      </c>
      <c r="M79" t="s">
        <v>106</v>
      </c>
      <c r="N79" t="s">
        <v>106</v>
      </c>
      <c r="O79" t="s">
        <v>106</v>
      </c>
      <c r="P79" t="s">
        <v>102</v>
      </c>
      <c r="Q79" t="s">
        <v>107</v>
      </c>
      <c r="R79" t="s">
        <v>106</v>
      </c>
      <c r="S79" t="s">
        <v>104</v>
      </c>
      <c r="T79" t="s">
        <v>106</v>
      </c>
      <c r="U79" t="s">
        <v>104</v>
      </c>
      <c r="V79" t="s">
        <v>106</v>
      </c>
      <c r="W79" t="s">
        <v>107</v>
      </c>
      <c r="X79" t="s">
        <v>107</v>
      </c>
      <c r="Y79" t="s">
        <v>106</v>
      </c>
      <c r="Z79" t="s">
        <v>106</v>
      </c>
      <c r="AA79" t="s">
        <v>106</v>
      </c>
      <c r="AB79" t="s">
        <v>106</v>
      </c>
      <c r="AC79" t="s">
        <v>104</v>
      </c>
      <c r="AD79" t="s">
        <v>106</v>
      </c>
      <c r="AE79" t="s">
        <v>104</v>
      </c>
      <c r="AF79" t="s">
        <v>104</v>
      </c>
      <c r="AG79" t="s">
        <v>106</v>
      </c>
      <c r="AH79" t="s">
        <v>106</v>
      </c>
      <c r="AI79" t="s">
        <v>107</v>
      </c>
    </row>
    <row r="80" spans="1:35" x14ac:dyDescent="0.25">
      <c r="A80" t="s">
        <v>406</v>
      </c>
      <c r="B80" t="s">
        <v>407</v>
      </c>
      <c r="C80" t="s">
        <v>408</v>
      </c>
      <c r="D80" t="s">
        <v>409</v>
      </c>
      <c r="E80" t="s">
        <v>371</v>
      </c>
      <c r="F80" t="s">
        <v>102</v>
      </c>
      <c r="G80" t="s">
        <v>103</v>
      </c>
      <c r="H80" t="s">
        <v>102</v>
      </c>
      <c r="I80" t="s">
        <v>102</v>
      </c>
      <c r="J80" t="s">
        <v>102</v>
      </c>
      <c r="K80" t="s">
        <v>102</v>
      </c>
      <c r="L80" t="s">
        <v>102</v>
      </c>
      <c r="M80" t="s">
        <v>102</v>
      </c>
      <c r="N80" t="s">
        <v>106</v>
      </c>
      <c r="O80" t="s">
        <v>102</v>
      </c>
      <c r="P80" t="s">
        <v>103</v>
      </c>
      <c r="Q80" t="s">
        <v>103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104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103</v>
      </c>
      <c r="AF80" t="s">
        <v>102</v>
      </c>
      <c r="AG80" t="s">
        <v>102</v>
      </c>
      <c r="AH80" t="s">
        <v>103</v>
      </c>
      <c r="AI80" t="s">
        <v>102</v>
      </c>
    </row>
    <row r="81" spans="1:35" x14ac:dyDescent="0.25">
      <c r="A81" t="s">
        <v>410</v>
      </c>
      <c r="B81" t="s">
        <v>411</v>
      </c>
      <c r="C81" t="s">
        <v>412</v>
      </c>
      <c r="D81" t="s">
        <v>413</v>
      </c>
      <c r="E81" t="s">
        <v>414</v>
      </c>
      <c r="F81" t="s">
        <v>106</v>
      </c>
      <c r="G81" t="s">
        <v>102</v>
      </c>
      <c r="H81" t="s">
        <v>106</v>
      </c>
      <c r="I81" t="s">
        <v>106</v>
      </c>
      <c r="J81" t="s">
        <v>102</v>
      </c>
      <c r="K81" t="s">
        <v>108</v>
      </c>
      <c r="L81" t="s">
        <v>102</v>
      </c>
      <c r="M81" t="s">
        <v>103</v>
      </c>
      <c r="N81" t="s">
        <v>102</v>
      </c>
      <c r="O81" t="s">
        <v>103</v>
      </c>
      <c r="P81" t="s">
        <v>104</v>
      </c>
      <c r="Q81" t="s">
        <v>104</v>
      </c>
      <c r="R81" t="s">
        <v>102</v>
      </c>
      <c r="S81" t="s">
        <v>102</v>
      </c>
      <c r="T81" t="s">
        <v>103</v>
      </c>
      <c r="U81" t="s">
        <v>103</v>
      </c>
      <c r="V81" t="s">
        <v>102</v>
      </c>
      <c r="W81" t="s">
        <v>104</v>
      </c>
      <c r="X81" t="s">
        <v>102</v>
      </c>
      <c r="Y81" t="s">
        <v>103</v>
      </c>
      <c r="Z81" t="s">
        <v>106</v>
      </c>
      <c r="AA81" t="s">
        <v>104</v>
      </c>
      <c r="AB81" t="s">
        <v>102</v>
      </c>
      <c r="AC81" t="s">
        <v>107</v>
      </c>
      <c r="AD81" t="s">
        <v>102</v>
      </c>
      <c r="AE81" t="s">
        <v>103</v>
      </c>
      <c r="AF81" t="s">
        <v>103</v>
      </c>
      <c r="AG81" t="s">
        <v>103</v>
      </c>
      <c r="AH81" t="s">
        <v>102</v>
      </c>
      <c r="AI81" t="s">
        <v>107</v>
      </c>
    </row>
    <row r="82" spans="1:35" x14ac:dyDescent="0.25">
      <c r="A82" t="s">
        <v>415</v>
      </c>
      <c r="B82" t="s">
        <v>416</v>
      </c>
      <c r="C82" t="s">
        <v>417</v>
      </c>
      <c r="D82" t="s">
        <v>418</v>
      </c>
      <c r="E82" t="s">
        <v>194</v>
      </c>
      <c r="F82" t="s">
        <v>102</v>
      </c>
      <c r="G82" t="s">
        <v>106</v>
      </c>
      <c r="H82" t="s">
        <v>107</v>
      </c>
      <c r="I82" t="s">
        <v>102</v>
      </c>
      <c r="J82" t="s">
        <v>102</v>
      </c>
      <c r="K82" t="s">
        <v>104</v>
      </c>
      <c r="L82" t="s">
        <v>102</v>
      </c>
      <c r="M82" t="s">
        <v>102</v>
      </c>
      <c r="N82" t="s">
        <v>102</v>
      </c>
      <c r="O82" t="s">
        <v>104</v>
      </c>
      <c r="P82" t="s">
        <v>102</v>
      </c>
      <c r="Q82" t="s">
        <v>108</v>
      </c>
      <c r="R82" t="s">
        <v>102</v>
      </c>
      <c r="S82" t="s">
        <v>102</v>
      </c>
      <c r="T82" t="s">
        <v>104</v>
      </c>
      <c r="U82" t="s">
        <v>107</v>
      </c>
      <c r="V82" t="s">
        <v>102</v>
      </c>
      <c r="W82" t="s">
        <v>102</v>
      </c>
      <c r="X82" t="s">
        <v>102</v>
      </c>
      <c r="Y82" t="s">
        <v>102</v>
      </c>
      <c r="Z82" t="s">
        <v>107</v>
      </c>
      <c r="AA82" t="s">
        <v>107</v>
      </c>
      <c r="AB82" t="s">
        <v>107</v>
      </c>
      <c r="AC82" t="s">
        <v>105</v>
      </c>
      <c r="AD82" t="s">
        <v>102</v>
      </c>
      <c r="AE82" t="s">
        <v>105</v>
      </c>
      <c r="AF82" t="s">
        <v>107</v>
      </c>
      <c r="AG82" t="s">
        <v>107</v>
      </c>
      <c r="AH82" t="s">
        <v>102</v>
      </c>
      <c r="AI82" t="s">
        <v>103</v>
      </c>
    </row>
    <row r="83" spans="1:35" x14ac:dyDescent="0.25">
      <c r="A83" t="s">
        <v>419</v>
      </c>
      <c r="B83" t="s">
        <v>420</v>
      </c>
      <c r="C83" t="s">
        <v>421</v>
      </c>
      <c r="D83" t="s">
        <v>211</v>
      </c>
      <c r="E83" t="s">
        <v>422</v>
      </c>
      <c r="F83" t="s">
        <v>103</v>
      </c>
      <c r="G83" t="s">
        <v>102</v>
      </c>
      <c r="H83" t="s">
        <v>102</v>
      </c>
      <c r="I83" t="s">
        <v>102</v>
      </c>
      <c r="J83" t="s">
        <v>102</v>
      </c>
      <c r="K83" t="s">
        <v>102</v>
      </c>
      <c r="L83" t="s">
        <v>102</v>
      </c>
      <c r="M83" t="s">
        <v>102</v>
      </c>
      <c r="N83" t="s">
        <v>102</v>
      </c>
      <c r="O83" t="s">
        <v>103</v>
      </c>
      <c r="P83" t="s">
        <v>102</v>
      </c>
      <c r="Q83" t="s">
        <v>102</v>
      </c>
      <c r="R83" t="s">
        <v>102</v>
      </c>
      <c r="S83" t="s">
        <v>102</v>
      </c>
      <c r="T83" t="s">
        <v>108</v>
      </c>
      <c r="U83" t="s">
        <v>104</v>
      </c>
      <c r="V83" t="s">
        <v>102</v>
      </c>
      <c r="W83" t="s">
        <v>102</v>
      </c>
      <c r="X83" t="s">
        <v>102</v>
      </c>
      <c r="Y83" t="s">
        <v>103</v>
      </c>
      <c r="Z83" t="s">
        <v>106</v>
      </c>
      <c r="AA83" t="s">
        <v>104</v>
      </c>
      <c r="AB83" t="s">
        <v>102</v>
      </c>
      <c r="AC83" t="s">
        <v>102</v>
      </c>
      <c r="AD83" t="s">
        <v>102</v>
      </c>
      <c r="AE83" t="s">
        <v>102</v>
      </c>
      <c r="AF83" t="s">
        <v>102</v>
      </c>
      <c r="AG83" t="s">
        <v>103</v>
      </c>
      <c r="AH83" t="s">
        <v>102</v>
      </c>
      <c r="AI83" t="s">
        <v>102</v>
      </c>
    </row>
    <row r="84" spans="1:35" x14ac:dyDescent="0.25">
      <c r="A84" t="s">
        <v>423</v>
      </c>
      <c r="B84" t="s">
        <v>424</v>
      </c>
      <c r="C84" t="s">
        <v>425</v>
      </c>
      <c r="D84" t="s">
        <v>169</v>
      </c>
      <c r="E84" t="s">
        <v>426</v>
      </c>
      <c r="F84" t="s">
        <v>103</v>
      </c>
      <c r="G84" t="s">
        <v>103</v>
      </c>
      <c r="H84" t="s">
        <v>103</v>
      </c>
      <c r="I84" t="s">
        <v>106</v>
      </c>
      <c r="J84" t="s">
        <v>103</v>
      </c>
      <c r="K84" t="s">
        <v>104</v>
      </c>
      <c r="L84" t="s">
        <v>102</v>
      </c>
      <c r="M84" t="s">
        <v>102</v>
      </c>
      <c r="N84" t="s">
        <v>102</v>
      </c>
      <c r="O84" t="s">
        <v>106</v>
      </c>
      <c r="P84" t="s">
        <v>102</v>
      </c>
      <c r="Q84" t="s">
        <v>105</v>
      </c>
      <c r="R84" t="s">
        <v>102</v>
      </c>
      <c r="S84" t="s">
        <v>103</v>
      </c>
      <c r="T84" t="s">
        <v>103</v>
      </c>
      <c r="U84" t="s">
        <v>104</v>
      </c>
      <c r="V84" t="s">
        <v>106</v>
      </c>
      <c r="W84" t="s">
        <v>102</v>
      </c>
      <c r="X84" t="s">
        <v>105</v>
      </c>
      <c r="Y84" t="s">
        <v>103</v>
      </c>
      <c r="Z84" t="s">
        <v>104</v>
      </c>
      <c r="AA84" t="s">
        <v>103</v>
      </c>
      <c r="AB84" t="s">
        <v>104</v>
      </c>
      <c r="AC84" t="s">
        <v>103</v>
      </c>
      <c r="AD84" t="s">
        <v>103</v>
      </c>
      <c r="AE84" t="s">
        <v>102</v>
      </c>
      <c r="AF84" t="s">
        <v>103</v>
      </c>
      <c r="AG84" t="s">
        <v>103</v>
      </c>
      <c r="AH84" t="s">
        <v>104</v>
      </c>
      <c r="AI84" t="s">
        <v>102</v>
      </c>
    </row>
    <row r="85" spans="1:35" x14ac:dyDescent="0.25">
      <c r="A85" t="s">
        <v>427</v>
      </c>
      <c r="B85" t="s">
        <v>428</v>
      </c>
      <c r="C85" t="s">
        <v>429</v>
      </c>
      <c r="D85" t="s">
        <v>430</v>
      </c>
      <c r="E85" t="s">
        <v>431</v>
      </c>
      <c r="F85" t="s">
        <v>102</v>
      </c>
      <c r="G85" t="s">
        <v>102</v>
      </c>
      <c r="H85" t="s">
        <v>102</v>
      </c>
      <c r="I85" t="s">
        <v>105</v>
      </c>
      <c r="J85" t="s">
        <v>105</v>
      </c>
      <c r="K85" t="s">
        <v>105</v>
      </c>
      <c r="L85" t="s">
        <v>102</v>
      </c>
      <c r="M85" t="s">
        <v>102</v>
      </c>
      <c r="N85" t="s">
        <v>102</v>
      </c>
      <c r="O85" t="s">
        <v>105</v>
      </c>
      <c r="P85" t="s">
        <v>102</v>
      </c>
      <c r="Q85" t="s">
        <v>105</v>
      </c>
      <c r="R85" t="s">
        <v>105</v>
      </c>
      <c r="S85" t="s">
        <v>102</v>
      </c>
      <c r="T85" t="s">
        <v>105</v>
      </c>
      <c r="U85" t="s">
        <v>105</v>
      </c>
      <c r="V85" t="s">
        <v>105</v>
      </c>
      <c r="W85" t="s">
        <v>105</v>
      </c>
      <c r="X85" t="s">
        <v>102</v>
      </c>
      <c r="Y85" t="s">
        <v>105</v>
      </c>
      <c r="Z85" t="s">
        <v>105</v>
      </c>
      <c r="AA85" t="s">
        <v>105</v>
      </c>
      <c r="AB85" t="s">
        <v>105</v>
      </c>
      <c r="AC85" t="s">
        <v>102</v>
      </c>
      <c r="AD85" t="s">
        <v>102</v>
      </c>
      <c r="AE85" t="s">
        <v>105</v>
      </c>
      <c r="AF85" t="s">
        <v>105</v>
      </c>
      <c r="AG85" t="s">
        <v>102</v>
      </c>
      <c r="AH85" t="s">
        <v>105</v>
      </c>
      <c r="AI85" t="s">
        <v>105</v>
      </c>
    </row>
    <row r="86" spans="1:35" x14ac:dyDescent="0.25">
      <c r="A86" t="s">
        <v>432</v>
      </c>
      <c r="B86" t="s">
        <v>433</v>
      </c>
      <c r="C86" t="s">
        <v>434</v>
      </c>
      <c r="D86" t="s">
        <v>183</v>
      </c>
      <c r="E86" t="s">
        <v>231</v>
      </c>
      <c r="F86" t="s">
        <v>102</v>
      </c>
      <c r="G86" t="s">
        <v>102</v>
      </c>
      <c r="H86" t="s">
        <v>103</v>
      </c>
      <c r="I86" t="s">
        <v>102</v>
      </c>
      <c r="J86" t="s">
        <v>102</v>
      </c>
      <c r="K86" t="s">
        <v>103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106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106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  <c r="AF86" t="s">
        <v>102</v>
      </c>
      <c r="AG86" t="s">
        <v>103</v>
      </c>
      <c r="AH86" t="s">
        <v>103</v>
      </c>
      <c r="AI86" t="s">
        <v>103</v>
      </c>
    </row>
    <row r="87" spans="1:35" x14ac:dyDescent="0.25">
      <c r="A87" t="s">
        <v>435</v>
      </c>
      <c r="B87" t="s">
        <v>436</v>
      </c>
      <c r="C87" t="s">
        <v>437</v>
      </c>
      <c r="D87" t="s">
        <v>141</v>
      </c>
      <c r="E87" t="s">
        <v>142</v>
      </c>
      <c r="F87" t="s">
        <v>107</v>
      </c>
      <c r="G87" t="s">
        <v>106</v>
      </c>
      <c r="H87" t="s">
        <v>104</v>
      </c>
      <c r="I87" t="s">
        <v>106</v>
      </c>
      <c r="J87" t="s">
        <v>106</v>
      </c>
      <c r="K87" t="s">
        <v>106</v>
      </c>
      <c r="L87" t="s">
        <v>103</v>
      </c>
      <c r="M87" t="s">
        <v>103</v>
      </c>
      <c r="N87" t="s">
        <v>103</v>
      </c>
      <c r="O87" t="s">
        <v>106</v>
      </c>
      <c r="P87" t="s">
        <v>106</v>
      </c>
      <c r="Q87" t="s">
        <v>104</v>
      </c>
      <c r="R87" t="s">
        <v>103</v>
      </c>
      <c r="S87" t="s">
        <v>103</v>
      </c>
      <c r="T87" t="s">
        <v>103</v>
      </c>
      <c r="U87" t="s">
        <v>104</v>
      </c>
      <c r="V87" t="s">
        <v>103</v>
      </c>
      <c r="W87" t="s">
        <v>107</v>
      </c>
      <c r="X87" t="s">
        <v>103</v>
      </c>
      <c r="Y87" t="s">
        <v>106</v>
      </c>
      <c r="Z87" t="s">
        <v>104</v>
      </c>
      <c r="AA87" t="s">
        <v>106</v>
      </c>
      <c r="AB87" t="s">
        <v>106</v>
      </c>
      <c r="AC87" t="s">
        <v>104</v>
      </c>
      <c r="AD87" t="s">
        <v>103</v>
      </c>
      <c r="AE87" t="s">
        <v>103</v>
      </c>
      <c r="AF87" t="s">
        <v>106</v>
      </c>
      <c r="AG87" t="s">
        <v>106</v>
      </c>
      <c r="AH87" t="s">
        <v>106</v>
      </c>
      <c r="AI87" t="s">
        <v>103</v>
      </c>
    </row>
    <row r="88" spans="1:35" x14ac:dyDescent="0.25">
      <c r="A88" t="s">
        <v>438</v>
      </c>
      <c r="B88" t="s">
        <v>439</v>
      </c>
      <c r="C88" t="s">
        <v>440</v>
      </c>
      <c r="D88" t="s">
        <v>211</v>
      </c>
      <c r="E88" t="s">
        <v>212</v>
      </c>
      <c r="F88" t="s">
        <v>102</v>
      </c>
      <c r="G88" t="s">
        <v>102</v>
      </c>
      <c r="H88" t="s">
        <v>103</v>
      </c>
      <c r="I88" t="s">
        <v>103</v>
      </c>
      <c r="J88" t="s">
        <v>102</v>
      </c>
      <c r="K88" t="s">
        <v>103</v>
      </c>
      <c r="L88" t="s">
        <v>102</v>
      </c>
      <c r="M88" t="s">
        <v>102</v>
      </c>
      <c r="N88" t="s">
        <v>102</v>
      </c>
      <c r="O88" t="s">
        <v>102</v>
      </c>
      <c r="P88" t="s">
        <v>103</v>
      </c>
      <c r="Q88" t="s">
        <v>103</v>
      </c>
      <c r="R88" t="s">
        <v>103</v>
      </c>
      <c r="S88" t="s">
        <v>103</v>
      </c>
      <c r="T88" t="s">
        <v>103</v>
      </c>
      <c r="U88" t="s">
        <v>103</v>
      </c>
      <c r="V88" t="s">
        <v>102</v>
      </c>
      <c r="W88" t="s">
        <v>103</v>
      </c>
      <c r="X88" t="s">
        <v>102</v>
      </c>
      <c r="Y88" t="s">
        <v>103</v>
      </c>
      <c r="Z88" t="s">
        <v>103</v>
      </c>
      <c r="AA88" t="s">
        <v>103</v>
      </c>
      <c r="AB88" t="s">
        <v>103</v>
      </c>
      <c r="AC88" t="s">
        <v>103</v>
      </c>
      <c r="AD88" t="s">
        <v>102</v>
      </c>
      <c r="AE88" t="s">
        <v>102</v>
      </c>
      <c r="AF88" t="s">
        <v>103</v>
      </c>
      <c r="AG88" t="s">
        <v>102</v>
      </c>
      <c r="AH88" t="s">
        <v>102</v>
      </c>
      <c r="AI88" t="s">
        <v>102</v>
      </c>
    </row>
    <row r="89" spans="1:35" x14ac:dyDescent="0.25">
      <c r="A89" t="s">
        <v>441</v>
      </c>
      <c r="B89" t="s">
        <v>442</v>
      </c>
      <c r="C89" t="s">
        <v>443</v>
      </c>
      <c r="D89" t="s">
        <v>444</v>
      </c>
      <c r="E89" t="s">
        <v>405</v>
      </c>
      <c r="F89" t="s">
        <v>102</v>
      </c>
      <c r="G89" t="s">
        <v>102</v>
      </c>
      <c r="H89" t="s">
        <v>104</v>
      </c>
      <c r="I89" t="s">
        <v>102</v>
      </c>
      <c r="J89" t="s">
        <v>102</v>
      </c>
      <c r="K89" t="s">
        <v>104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105</v>
      </c>
      <c r="R89" t="s">
        <v>102</v>
      </c>
      <c r="S89" t="s">
        <v>102</v>
      </c>
      <c r="T89" t="s">
        <v>104</v>
      </c>
      <c r="U89" t="s">
        <v>102</v>
      </c>
      <c r="V89" t="s">
        <v>102</v>
      </c>
      <c r="W89" t="s">
        <v>104</v>
      </c>
      <c r="X89" t="s">
        <v>102</v>
      </c>
      <c r="Y89" t="s">
        <v>102</v>
      </c>
      <c r="Z89" t="s">
        <v>102</v>
      </c>
      <c r="AA89" t="s">
        <v>104</v>
      </c>
      <c r="AB89" t="s">
        <v>102</v>
      </c>
      <c r="AC89" t="s">
        <v>104</v>
      </c>
      <c r="AD89" t="s">
        <v>102</v>
      </c>
      <c r="AE89" t="s">
        <v>103</v>
      </c>
      <c r="AF89" t="s">
        <v>102</v>
      </c>
      <c r="AG89" t="s">
        <v>102</v>
      </c>
      <c r="AH89" t="s">
        <v>102</v>
      </c>
      <c r="AI89" t="s">
        <v>103</v>
      </c>
    </row>
    <row r="90" spans="1:35" x14ac:dyDescent="0.25">
      <c r="A90" t="s">
        <v>445</v>
      </c>
      <c r="B90" t="s">
        <v>446</v>
      </c>
      <c r="C90" t="s">
        <v>447</v>
      </c>
      <c r="D90" t="s">
        <v>178</v>
      </c>
      <c r="E90" t="s">
        <v>448</v>
      </c>
      <c r="F90" t="s">
        <v>102</v>
      </c>
      <c r="G90" t="s">
        <v>102</v>
      </c>
      <c r="H90" t="s">
        <v>102</v>
      </c>
      <c r="I90" t="s">
        <v>102</v>
      </c>
      <c r="J90" t="s">
        <v>102</v>
      </c>
      <c r="K90" t="s">
        <v>104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449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  <c r="AF90" t="s">
        <v>102</v>
      </c>
      <c r="AG90" t="s">
        <v>102</v>
      </c>
      <c r="AH90" t="s">
        <v>102</v>
      </c>
      <c r="AI90" t="s">
        <v>102</v>
      </c>
    </row>
    <row r="91" spans="1:35" x14ac:dyDescent="0.25">
      <c r="A91" t="s">
        <v>450</v>
      </c>
      <c r="B91" t="s">
        <v>451</v>
      </c>
      <c r="C91" t="s">
        <v>452</v>
      </c>
      <c r="D91" t="s">
        <v>453</v>
      </c>
      <c r="E91" t="s">
        <v>414</v>
      </c>
      <c r="F91" t="s">
        <v>102</v>
      </c>
      <c r="G91" t="s">
        <v>102</v>
      </c>
      <c r="H91" t="s">
        <v>102</v>
      </c>
      <c r="I91" t="s">
        <v>102</v>
      </c>
      <c r="J91" t="s">
        <v>102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  <c r="AF91" t="s">
        <v>102</v>
      </c>
      <c r="AG91" t="s">
        <v>102</v>
      </c>
      <c r="AH91" t="s">
        <v>102</v>
      </c>
      <c r="AI91" t="s">
        <v>102</v>
      </c>
    </row>
    <row r="92" spans="1:35" x14ac:dyDescent="0.25">
      <c r="A92" t="s">
        <v>454</v>
      </c>
      <c r="B92" t="s">
        <v>455</v>
      </c>
      <c r="C92" t="s">
        <v>456</v>
      </c>
      <c r="D92" t="s">
        <v>174</v>
      </c>
      <c r="E92" t="s">
        <v>137</v>
      </c>
      <c r="F92" t="s">
        <v>106</v>
      </c>
      <c r="G92" t="s">
        <v>103</v>
      </c>
      <c r="H92" t="s">
        <v>106</v>
      </c>
      <c r="I92" t="s">
        <v>106</v>
      </c>
      <c r="J92" t="s">
        <v>106</v>
      </c>
      <c r="K92" t="s">
        <v>107</v>
      </c>
      <c r="L92" t="s">
        <v>103</v>
      </c>
      <c r="M92" t="s">
        <v>106</v>
      </c>
      <c r="N92" t="s">
        <v>106</v>
      </c>
      <c r="O92" t="s">
        <v>106</v>
      </c>
      <c r="P92" t="s">
        <v>106</v>
      </c>
      <c r="Q92" t="s">
        <v>104</v>
      </c>
      <c r="R92" t="s">
        <v>102</v>
      </c>
      <c r="S92" t="s">
        <v>103</v>
      </c>
      <c r="T92" t="s">
        <v>104</v>
      </c>
      <c r="U92" t="s">
        <v>104</v>
      </c>
      <c r="V92" t="s">
        <v>106</v>
      </c>
      <c r="W92" t="s">
        <v>106</v>
      </c>
      <c r="X92" t="s">
        <v>103</v>
      </c>
      <c r="Y92" t="s">
        <v>106</v>
      </c>
      <c r="Z92" t="s">
        <v>106</v>
      </c>
      <c r="AA92" t="s">
        <v>107</v>
      </c>
      <c r="AB92" t="s">
        <v>106</v>
      </c>
      <c r="AC92" t="s">
        <v>107</v>
      </c>
      <c r="AD92" t="s">
        <v>103</v>
      </c>
      <c r="AE92" t="s">
        <v>103</v>
      </c>
      <c r="AF92" t="s">
        <v>104</v>
      </c>
      <c r="AG92" t="s">
        <v>106</v>
      </c>
      <c r="AH92" t="s">
        <v>106</v>
      </c>
      <c r="AI92" t="s">
        <v>106</v>
      </c>
    </row>
    <row r="93" spans="1:35" x14ac:dyDescent="0.25">
      <c r="A93" t="s">
        <v>457</v>
      </c>
      <c r="B93" t="s">
        <v>458</v>
      </c>
      <c r="C93" t="s">
        <v>459</v>
      </c>
      <c r="D93" t="s">
        <v>211</v>
      </c>
      <c r="E93" t="s">
        <v>203</v>
      </c>
      <c r="F93" t="s">
        <v>102</v>
      </c>
      <c r="G93" t="s">
        <v>102</v>
      </c>
      <c r="H93" t="s">
        <v>102</v>
      </c>
      <c r="I93" t="s">
        <v>102</v>
      </c>
      <c r="J93" t="s">
        <v>102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  <c r="AF93" t="s">
        <v>102</v>
      </c>
      <c r="AG93" t="s">
        <v>111</v>
      </c>
      <c r="AH93" t="s">
        <v>102</v>
      </c>
      <c r="AI93" t="s">
        <v>102</v>
      </c>
    </row>
    <row r="94" spans="1:35" x14ac:dyDescent="0.25">
      <c r="A94" t="s">
        <v>460</v>
      </c>
      <c r="B94" t="s">
        <v>461</v>
      </c>
      <c r="C94" t="s">
        <v>462</v>
      </c>
      <c r="D94" t="s">
        <v>211</v>
      </c>
      <c r="E94" t="s">
        <v>405</v>
      </c>
      <c r="F94" t="s">
        <v>106</v>
      </c>
      <c r="G94" t="s">
        <v>103</v>
      </c>
      <c r="H94" t="s">
        <v>102</v>
      </c>
      <c r="I94" t="s">
        <v>103</v>
      </c>
      <c r="J94" t="s">
        <v>111</v>
      </c>
      <c r="K94" t="s">
        <v>103</v>
      </c>
      <c r="L94" t="s">
        <v>103</v>
      </c>
      <c r="M94" t="s">
        <v>102</v>
      </c>
      <c r="N94" t="s">
        <v>102</v>
      </c>
      <c r="O94" t="s">
        <v>103</v>
      </c>
      <c r="P94" t="s">
        <v>103</v>
      </c>
      <c r="Q94" t="s">
        <v>102</v>
      </c>
      <c r="R94" t="s">
        <v>103</v>
      </c>
      <c r="S94" t="s">
        <v>102</v>
      </c>
      <c r="T94" t="s">
        <v>102</v>
      </c>
      <c r="U94" t="s">
        <v>106</v>
      </c>
      <c r="V94" t="s">
        <v>102</v>
      </c>
      <c r="W94" t="s">
        <v>102</v>
      </c>
      <c r="X94" t="s">
        <v>103</v>
      </c>
      <c r="Y94" t="s">
        <v>103</v>
      </c>
      <c r="Z94" t="s">
        <v>106</v>
      </c>
      <c r="AA94" t="s">
        <v>103</v>
      </c>
      <c r="AB94" t="s">
        <v>103</v>
      </c>
      <c r="AC94" t="s">
        <v>103</v>
      </c>
      <c r="AD94" t="s">
        <v>106</v>
      </c>
      <c r="AE94" t="s">
        <v>103</v>
      </c>
      <c r="AF94" t="s">
        <v>103</v>
      </c>
      <c r="AG94" t="s">
        <v>106</v>
      </c>
      <c r="AH94" t="s">
        <v>103</v>
      </c>
      <c r="AI94" t="s">
        <v>102</v>
      </c>
    </row>
    <row r="95" spans="1:35" x14ac:dyDescent="0.25">
      <c r="A95" t="s">
        <v>463</v>
      </c>
      <c r="B95" t="s">
        <v>464</v>
      </c>
      <c r="C95" t="s">
        <v>465</v>
      </c>
      <c r="D95" t="s">
        <v>256</v>
      </c>
      <c r="E95" t="s">
        <v>137</v>
      </c>
      <c r="F95" t="s">
        <v>106</v>
      </c>
      <c r="G95" t="s">
        <v>102</v>
      </c>
      <c r="H95" t="s">
        <v>102</v>
      </c>
      <c r="I95" t="s">
        <v>103</v>
      </c>
      <c r="J95" t="s">
        <v>106</v>
      </c>
      <c r="K95" t="s">
        <v>103</v>
      </c>
      <c r="L95" t="s">
        <v>102</v>
      </c>
      <c r="M95" t="s">
        <v>102</v>
      </c>
      <c r="N95" t="s">
        <v>102</v>
      </c>
      <c r="O95" t="s">
        <v>102</v>
      </c>
      <c r="P95" t="s">
        <v>106</v>
      </c>
      <c r="Q95" t="s">
        <v>106</v>
      </c>
      <c r="R95" t="s">
        <v>102</v>
      </c>
      <c r="S95" t="s">
        <v>102</v>
      </c>
      <c r="T95" t="s">
        <v>102</v>
      </c>
      <c r="U95" t="s">
        <v>103</v>
      </c>
      <c r="V95" t="s">
        <v>102</v>
      </c>
      <c r="W95" t="s">
        <v>103</v>
      </c>
      <c r="X95" t="s">
        <v>103</v>
      </c>
      <c r="Y95" t="s">
        <v>104</v>
      </c>
      <c r="Z95" t="s">
        <v>103</v>
      </c>
      <c r="AA95" t="s">
        <v>106</v>
      </c>
      <c r="AB95" t="s">
        <v>106</v>
      </c>
      <c r="AC95" t="s">
        <v>103</v>
      </c>
      <c r="AD95" t="s">
        <v>103</v>
      </c>
      <c r="AE95" t="s">
        <v>103</v>
      </c>
      <c r="AF95" t="s">
        <v>104</v>
      </c>
      <c r="AG95" t="s">
        <v>106</v>
      </c>
      <c r="AH95" t="s">
        <v>104</v>
      </c>
      <c r="AI95" t="s">
        <v>102</v>
      </c>
    </row>
    <row r="96" spans="1:35" x14ac:dyDescent="0.25">
      <c r="A96" t="s">
        <v>466</v>
      </c>
      <c r="B96" t="s">
        <v>467</v>
      </c>
      <c r="C96" t="s">
        <v>468</v>
      </c>
      <c r="D96" t="s">
        <v>469</v>
      </c>
      <c r="E96" t="s">
        <v>470</v>
      </c>
      <c r="F96" t="s">
        <v>103</v>
      </c>
      <c r="G96" t="s">
        <v>104</v>
      </c>
      <c r="H96" t="s">
        <v>107</v>
      </c>
      <c r="I96" t="s">
        <v>106</v>
      </c>
      <c r="J96" t="s">
        <v>103</v>
      </c>
      <c r="K96" t="s">
        <v>107</v>
      </c>
      <c r="L96" t="s">
        <v>102</v>
      </c>
      <c r="M96" t="s">
        <v>102</v>
      </c>
      <c r="N96" t="s">
        <v>106</v>
      </c>
      <c r="O96" t="s">
        <v>103</v>
      </c>
      <c r="P96" t="s">
        <v>103</v>
      </c>
      <c r="Q96" t="s">
        <v>104</v>
      </c>
      <c r="R96" t="s">
        <v>102</v>
      </c>
      <c r="S96" t="s">
        <v>102</v>
      </c>
      <c r="T96" t="s">
        <v>106</v>
      </c>
      <c r="U96" t="s">
        <v>106</v>
      </c>
      <c r="V96" t="s">
        <v>103</v>
      </c>
      <c r="W96" t="s">
        <v>102</v>
      </c>
      <c r="X96" t="s">
        <v>102</v>
      </c>
      <c r="Y96" t="s">
        <v>102</v>
      </c>
      <c r="Z96" t="s">
        <v>104</v>
      </c>
      <c r="AA96" t="s">
        <v>107</v>
      </c>
      <c r="AB96" t="s">
        <v>103</v>
      </c>
      <c r="AC96" t="s">
        <v>106</v>
      </c>
      <c r="AD96" t="s">
        <v>103</v>
      </c>
      <c r="AE96" t="s">
        <v>103</v>
      </c>
      <c r="AF96" t="s">
        <v>103</v>
      </c>
      <c r="AG96" t="s">
        <v>103</v>
      </c>
      <c r="AH96" t="s">
        <v>103</v>
      </c>
      <c r="AI96" t="s">
        <v>103</v>
      </c>
    </row>
    <row r="97" spans="1:35" x14ac:dyDescent="0.25">
      <c r="A97" t="s">
        <v>471</v>
      </c>
      <c r="B97" t="s">
        <v>472</v>
      </c>
      <c r="C97" t="s">
        <v>473</v>
      </c>
      <c r="D97" t="s">
        <v>474</v>
      </c>
      <c r="E97" t="s">
        <v>405</v>
      </c>
      <c r="F97" t="s">
        <v>103</v>
      </c>
      <c r="G97" t="s">
        <v>106</v>
      </c>
      <c r="H97" t="s">
        <v>103</v>
      </c>
      <c r="I97" t="s">
        <v>103</v>
      </c>
      <c r="J97" t="s">
        <v>103</v>
      </c>
      <c r="K97" t="s">
        <v>102</v>
      </c>
      <c r="L97" t="s">
        <v>102</v>
      </c>
      <c r="M97" t="s">
        <v>102</v>
      </c>
      <c r="N97" t="s">
        <v>102</v>
      </c>
      <c r="O97" t="s">
        <v>106</v>
      </c>
      <c r="P97" t="s">
        <v>106</v>
      </c>
      <c r="Q97" t="s">
        <v>102</v>
      </c>
      <c r="R97" t="s">
        <v>102</v>
      </c>
      <c r="S97" t="s">
        <v>102</v>
      </c>
      <c r="T97" t="s">
        <v>103</v>
      </c>
      <c r="U97" t="s">
        <v>106</v>
      </c>
      <c r="V97" t="s">
        <v>102</v>
      </c>
      <c r="W97" t="s">
        <v>102</v>
      </c>
      <c r="X97" t="s">
        <v>103</v>
      </c>
      <c r="Y97" t="s">
        <v>102</v>
      </c>
      <c r="Z97" t="s">
        <v>103</v>
      </c>
      <c r="AA97" t="s">
        <v>103</v>
      </c>
      <c r="AB97" t="s">
        <v>103</v>
      </c>
      <c r="AC97" t="s">
        <v>102</v>
      </c>
      <c r="AD97" t="s">
        <v>102</v>
      </c>
      <c r="AE97" t="s">
        <v>103</v>
      </c>
      <c r="AF97" t="s">
        <v>102</v>
      </c>
      <c r="AG97" t="s">
        <v>102</v>
      </c>
      <c r="AH97" t="s">
        <v>106</v>
      </c>
      <c r="AI97" t="s">
        <v>102</v>
      </c>
    </row>
    <row r="98" spans="1:35" x14ac:dyDescent="0.25">
      <c r="A98" t="s">
        <v>475</v>
      </c>
      <c r="B98" t="s">
        <v>476</v>
      </c>
      <c r="C98" t="s">
        <v>477</v>
      </c>
      <c r="D98" t="s">
        <v>478</v>
      </c>
      <c r="E98" t="s">
        <v>212</v>
      </c>
      <c r="F98" t="s">
        <v>103</v>
      </c>
      <c r="G98" t="s">
        <v>103</v>
      </c>
      <c r="H98" t="s">
        <v>103</v>
      </c>
      <c r="I98" t="s">
        <v>103</v>
      </c>
      <c r="J98" t="s">
        <v>103</v>
      </c>
      <c r="K98" t="s">
        <v>106</v>
      </c>
      <c r="L98" t="s">
        <v>102</v>
      </c>
      <c r="M98" t="s">
        <v>102</v>
      </c>
      <c r="N98" t="s">
        <v>102</v>
      </c>
      <c r="O98" t="s">
        <v>103</v>
      </c>
      <c r="P98" t="s">
        <v>104</v>
      </c>
      <c r="Q98" t="s">
        <v>107</v>
      </c>
      <c r="R98" t="s">
        <v>102</v>
      </c>
      <c r="S98" t="s">
        <v>102</v>
      </c>
      <c r="T98" t="s">
        <v>103</v>
      </c>
      <c r="U98" t="s">
        <v>104</v>
      </c>
      <c r="V98" t="s">
        <v>106</v>
      </c>
      <c r="W98" t="s">
        <v>102</v>
      </c>
      <c r="X98" t="s">
        <v>104</v>
      </c>
      <c r="Y98" t="s">
        <v>102</v>
      </c>
      <c r="Z98" t="s">
        <v>104</v>
      </c>
      <c r="AA98" t="s">
        <v>106</v>
      </c>
      <c r="AB98" t="s">
        <v>103</v>
      </c>
      <c r="AC98" t="s">
        <v>103</v>
      </c>
      <c r="AD98" t="s">
        <v>103</v>
      </c>
      <c r="AE98" t="s">
        <v>103</v>
      </c>
      <c r="AF98" t="s">
        <v>103</v>
      </c>
      <c r="AG98" t="s">
        <v>103</v>
      </c>
      <c r="AH98" t="s">
        <v>106</v>
      </c>
      <c r="AI98" t="s">
        <v>102</v>
      </c>
    </row>
    <row r="99" spans="1:35" x14ac:dyDescent="0.25">
      <c r="A99" t="s">
        <v>479</v>
      </c>
      <c r="B99" t="s">
        <v>480</v>
      </c>
      <c r="C99" t="s">
        <v>481</v>
      </c>
      <c r="D99" t="s">
        <v>482</v>
      </c>
      <c r="E99" t="s">
        <v>405</v>
      </c>
      <c r="F99" t="s">
        <v>102</v>
      </c>
      <c r="G99" t="s">
        <v>102</v>
      </c>
      <c r="H99" t="s">
        <v>104</v>
      </c>
      <c r="I99" t="s">
        <v>103</v>
      </c>
      <c r="J99" t="s">
        <v>102</v>
      </c>
      <c r="K99" t="s">
        <v>103</v>
      </c>
      <c r="L99" t="s">
        <v>102</v>
      </c>
      <c r="M99" t="s">
        <v>102</v>
      </c>
      <c r="N99" t="s">
        <v>102</v>
      </c>
      <c r="O99" t="s">
        <v>102</v>
      </c>
      <c r="P99" t="s">
        <v>102</v>
      </c>
      <c r="Q99" t="s">
        <v>105</v>
      </c>
      <c r="R99" t="s">
        <v>102</v>
      </c>
      <c r="S99" t="s">
        <v>102</v>
      </c>
      <c r="T99" t="s">
        <v>103</v>
      </c>
      <c r="U99" t="s">
        <v>104</v>
      </c>
      <c r="V99" t="s">
        <v>102</v>
      </c>
      <c r="W99" t="s">
        <v>102</v>
      </c>
      <c r="X99" t="s">
        <v>102</v>
      </c>
      <c r="Y99" t="s">
        <v>102</v>
      </c>
      <c r="Z99" t="s">
        <v>104</v>
      </c>
      <c r="AA99" t="s">
        <v>103</v>
      </c>
      <c r="AB99" t="s">
        <v>102</v>
      </c>
      <c r="AC99" t="s">
        <v>105</v>
      </c>
      <c r="AD99" t="s">
        <v>102</v>
      </c>
      <c r="AE99" t="s">
        <v>104</v>
      </c>
      <c r="AF99" t="s">
        <v>104</v>
      </c>
      <c r="AG99" t="s">
        <v>102</v>
      </c>
      <c r="AH99" t="s">
        <v>102</v>
      </c>
      <c r="AI99" t="s">
        <v>108</v>
      </c>
    </row>
    <row r="100" spans="1:35" x14ac:dyDescent="0.25">
      <c r="A100" t="s">
        <v>483</v>
      </c>
      <c r="B100" t="s">
        <v>484</v>
      </c>
      <c r="C100" t="s">
        <v>485</v>
      </c>
      <c r="D100" t="s">
        <v>211</v>
      </c>
      <c r="E100" t="s">
        <v>231</v>
      </c>
      <c r="F100" t="s">
        <v>103</v>
      </c>
      <c r="G100" t="s">
        <v>103</v>
      </c>
      <c r="H100" t="s">
        <v>104</v>
      </c>
      <c r="I100" t="s">
        <v>103</v>
      </c>
      <c r="J100" t="s">
        <v>103</v>
      </c>
      <c r="K100" t="s">
        <v>103</v>
      </c>
      <c r="L100" t="s">
        <v>102</v>
      </c>
      <c r="M100" t="s">
        <v>102</v>
      </c>
      <c r="N100" t="s">
        <v>102</v>
      </c>
      <c r="O100" t="s">
        <v>106</v>
      </c>
      <c r="P100" t="s">
        <v>102</v>
      </c>
      <c r="Q100" t="s">
        <v>103</v>
      </c>
      <c r="R100" t="s">
        <v>106</v>
      </c>
      <c r="S100" t="s">
        <v>103</v>
      </c>
      <c r="T100" t="s">
        <v>106</v>
      </c>
      <c r="U100" t="s">
        <v>106</v>
      </c>
      <c r="V100" t="s">
        <v>102</v>
      </c>
      <c r="W100" t="s">
        <v>103</v>
      </c>
      <c r="X100" t="s">
        <v>102</v>
      </c>
      <c r="Y100" t="s">
        <v>102</v>
      </c>
      <c r="Z100" t="s">
        <v>103</v>
      </c>
      <c r="AA100" t="s">
        <v>106</v>
      </c>
      <c r="AB100" t="s">
        <v>103</v>
      </c>
      <c r="AC100" t="s">
        <v>103</v>
      </c>
      <c r="AD100" t="s">
        <v>102</v>
      </c>
      <c r="AE100" t="s">
        <v>102</v>
      </c>
      <c r="AF100" t="s">
        <v>103</v>
      </c>
      <c r="AG100" t="s">
        <v>102</v>
      </c>
      <c r="AH100" t="s">
        <v>102</v>
      </c>
      <c r="AI100" t="s">
        <v>102</v>
      </c>
    </row>
    <row r="101" spans="1:35" x14ac:dyDescent="0.25">
      <c r="A101" t="s">
        <v>486</v>
      </c>
      <c r="B101" t="s">
        <v>487</v>
      </c>
      <c r="C101" t="s">
        <v>488</v>
      </c>
      <c r="D101" t="s">
        <v>489</v>
      </c>
      <c r="E101" t="s">
        <v>212</v>
      </c>
      <c r="F101" t="s">
        <v>102</v>
      </c>
      <c r="G101" t="s">
        <v>102</v>
      </c>
      <c r="H101" t="s">
        <v>104</v>
      </c>
      <c r="I101" t="s">
        <v>102</v>
      </c>
      <c r="J101" t="s">
        <v>102</v>
      </c>
      <c r="K101" t="s">
        <v>104</v>
      </c>
      <c r="L101" t="s">
        <v>102</v>
      </c>
      <c r="M101" t="s">
        <v>102</v>
      </c>
      <c r="N101" t="s">
        <v>102</v>
      </c>
      <c r="O101" t="s">
        <v>106</v>
      </c>
      <c r="P101" t="s">
        <v>102</v>
      </c>
      <c r="Q101" t="s">
        <v>103</v>
      </c>
      <c r="R101" t="s">
        <v>102</v>
      </c>
      <c r="S101" t="s">
        <v>102</v>
      </c>
      <c r="T101" t="s">
        <v>103</v>
      </c>
      <c r="U101" t="s">
        <v>104</v>
      </c>
      <c r="V101" t="s">
        <v>102</v>
      </c>
      <c r="W101" t="s">
        <v>103</v>
      </c>
      <c r="X101" t="s">
        <v>102</v>
      </c>
      <c r="Y101" t="s">
        <v>102</v>
      </c>
      <c r="Z101" t="s">
        <v>104</v>
      </c>
      <c r="AA101" t="s">
        <v>108</v>
      </c>
      <c r="AB101" t="s">
        <v>102</v>
      </c>
      <c r="AC101" t="s">
        <v>106</v>
      </c>
      <c r="AD101" t="s">
        <v>102</v>
      </c>
      <c r="AE101" t="s">
        <v>103</v>
      </c>
      <c r="AF101" t="s">
        <v>106</v>
      </c>
      <c r="AG101" t="s">
        <v>102</v>
      </c>
      <c r="AH101" t="s">
        <v>103</v>
      </c>
      <c r="AI101" t="s">
        <v>103</v>
      </c>
    </row>
    <row r="102" spans="1:35" x14ac:dyDescent="0.25">
      <c r="A102" t="s">
        <v>490</v>
      </c>
      <c r="B102" t="s">
        <v>491</v>
      </c>
      <c r="C102" t="s">
        <v>492</v>
      </c>
      <c r="D102" t="s">
        <v>174</v>
      </c>
      <c r="E102" t="s">
        <v>137</v>
      </c>
      <c r="F102" t="s">
        <v>106</v>
      </c>
      <c r="G102" t="s">
        <v>106</v>
      </c>
      <c r="H102" t="s">
        <v>104</v>
      </c>
      <c r="I102" t="s">
        <v>104</v>
      </c>
      <c r="J102" t="s">
        <v>106</v>
      </c>
      <c r="K102" t="s">
        <v>107</v>
      </c>
      <c r="L102" t="s">
        <v>106</v>
      </c>
      <c r="M102" t="s">
        <v>103</v>
      </c>
      <c r="N102" t="s">
        <v>102</v>
      </c>
      <c r="O102" t="s">
        <v>106</v>
      </c>
      <c r="P102" t="s">
        <v>105</v>
      </c>
      <c r="Q102" t="s">
        <v>107</v>
      </c>
      <c r="R102" t="s">
        <v>102</v>
      </c>
      <c r="S102" t="s">
        <v>106</v>
      </c>
      <c r="T102" t="s">
        <v>102</v>
      </c>
      <c r="U102" t="s">
        <v>106</v>
      </c>
      <c r="V102" t="s">
        <v>103</v>
      </c>
      <c r="W102" t="s">
        <v>106</v>
      </c>
      <c r="X102" t="s">
        <v>104</v>
      </c>
      <c r="Y102" t="s">
        <v>103</v>
      </c>
      <c r="Z102" t="s">
        <v>103</v>
      </c>
      <c r="AA102" t="s">
        <v>107</v>
      </c>
      <c r="AB102" t="s">
        <v>107</v>
      </c>
      <c r="AC102" t="s">
        <v>107</v>
      </c>
      <c r="AD102" t="s">
        <v>106</v>
      </c>
      <c r="AE102" t="s">
        <v>107</v>
      </c>
      <c r="AF102" t="s">
        <v>102</v>
      </c>
      <c r="AG102" t="s">
        <v>103</v>
      </c>
      <c r="AH102" t="s">
        <v>106</v>
      </c>
      <c r="AI102" t="s">
        <v>102</v>
      </c>
    </row>
    <row r="103" spans="1:35" x14ac:dyDescent="0.25">
      <c r="A103" t="s">
        <v>493</v>
      </c>
      <c r="B103" t="s">
        <v>494</v>
      </c>
      <c r="C103" t="s">
        <v>366</v>
      </c>
      <c r="D103" t="s">
        <v>211</v>
      </c>
      <c r="E103" t="s">
        <v>495</v>
      </c>
      <c r="F103" t="s">
        <v>102</v>
      </c>
      <c r="G103" t="s">
        <v>103</v>
      </c>
      <c r="H103" t="s">
        <v>106</v>
      </c>
      <c r="I103" t="s">
        <v>102</v>
      </c>
      <c r="J103" t="s">
        <v>102</v>
      </c>
      <c r="K103" t="s">
        <v>102</v>
      </c>
      <c r="L103" t="s">
        <v>102</v>
      </c>
      <c r="M103" t="s">
        <v>102</v>
      </c>
      <c r="N103" t="s">
        <v>103</v>
      </c>
      <c r="O103" t="s">
        <v>103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103</v>
      </c>
      <c r="V103" t="s">
        <v>102</v>
      </c>
      <c r="W103" t="s">
        <v>102</v>
      </c>
      <c r="X103" t="s">
        <v>102</v>
      </c>
      <c r="Y103" t="s">
        <v>103</v>
      </c>
      <c r="Z103" t="s">
        <v>102</v>
      </c>
      <c r="AA103" t="s">
        <v>102</v>
      </c>
      <c r="AB103" t="s">
        <v>102</v>
      </c>
      <c r="AC103" t="s">
        <v>102</v>
      </c>
      <c r="AD103" t="s">
        <v>103</v>
      </c>
      <c r="AE103" t="s">
        <v>102</v>
      </c>
      <c r="AF103" t="s">
        <v>102</v>
      </c>
      <c r="AG103" t="s">
        <v>102</v>
      </c>
      <c r="AH103" t="s">
        <v>103</v>
      </c>
      <c r="AI103" t="s">
        <v>102</v>
      </c>
    </row>
    <row r="104" spans="1:35" x14ac:dyDescent="0.25">
      <c r="A104" t="s">
        <v>496</v>
      </c>
      <c r="B104" t="s">
        <v>497</v>
      </c>
      <c r="C104" t="s">
        <v>498</v>
      </c>
      <c r="D104" t="s">
        <v>499</v>
      </c>
      <c r="E104" t="s">
        <v>137</v>
      </c>
      <c r="F104" t="s">
        <v>102</v>
      </c>
      <c r="G104" t="s">
        <v>102</v>
      </c>
      <c r="H104" t="s">
        <v>104</v>
      </c>
      <c r="I104" t="s">
        <v>102</v>
      </c>
      <c r="J104" t="s">
        <v>102</v>
      </c>
      <c r="K104" t="s">
        <v>104</v>
      </c>
      <c r="L104" t="s">
        <v>102</v>
      </c>
      <c r="M104" t="s">
        <v>102</v>
      </c>
      <c r="N104" t="s">
        <v>102</v>
      </c>
      <c r="O104" t="s">
        <v>102</v>
      </c>
      <c r="P104" t="s">
        <v>102</v>
      </c>
      <c r="Q104" t="s">
        <v>104</v>
      </c>
      <c r="R104" t="s">
        <v>105</v>
      </c>
      <c r="S104" t="s">
        <v>102</v>
      </c>
      <c r="T104" t="s">
        <v>102</v>
      </c>
      <c r="U104" t="s">
        <v>104</v>
      </c>
      <c r="V104" t="s">
        <v>102</v>
      </c>
      <c r="W104" t="s">
        <v>102</v>
      </c>
      <c r="X104" t="s">
        <v>102</v>
      </c>
      <c r="Y104" t="s">
        <v>106</v>
      </c>
      <c r="Z104" t="s">
        <v>104</v>
      </c>
      <c r="AA104" t="s">
        <v>107</v>
      </c>
      <c r="AB104" t="s">
        <v>104</v>
      </c>
      <c r="AC104" t="s">
        <v>107</v>
      </c>
      <c r="AD104" t="s">
        <v>102</v>
      </c>
      <c r="AE104" t="s">
        <v>104</v>
      </c>
      <c r="AF104" t="s">
        <v>104</v>
      </c>
      <c r="AG104" t="s">
        <v>104</v>
      </c>
      <c r="AH104" t="s">
        <v>107</v>
      </c>
      <c r="AI104" t="s">
        <v>107</v>
      </c>
    </row>
    <row r="105" spans="1:35" x14ac:dyDescent="0.25">
      <c r="A105" t="s">
        <v>500</v>
      </c>
      <c r="B105" t="s">
        <v>501</v>
      </c>
      <c r="C105" t="s">
        <v>502</v>
      </c>
      <c r="D105" t="s">
        <v>174</v>
      </c>
      <c r="E105" t="s">
        <v>137</v>
      </c>
      <c r="F105" t="s">
        <v>104</v>
      </c>
      <c r="G105" t="s">
        <v>102</v>
      </c>
      <c r="H105" t="s">
        <v>108</v>
      </c>
      <c r="I105" t="s">
        <v>106</v>
      </c>
      <c r="J105" t="s">
        <v>104</v>
      </c>
      <c r="K105" t="s">
        <v>104</v>
      </c>
      <c r="L105" t="s">
        <v>102</v>
      </c>
      <c r="M105" t="s">
        <v>102</v>
      </c>
      <c r="N105" t="s">
        <v>103</v>
      </c>
      <c r="O105" t="s">
        <v>106</v>
      </c>
      <c r="P105" t="s">
        <v>107</v>
      </c>
      <c r="Q105" t="s">
        <v>104</v>
      </c>
      <c r="R105" t="s">
        <v>104</v>
      </c>
      <c r="S105" t="s">
        <v>102</v>
      </c>
      <c r="T105" t="s">
        <v>103</v>
      </c>
      <c r="U105" t="s">
        <v>104</v>
      </c>
      <c r="V105" t="s">
        <v>102</v>
      </c>
      <c r="W105" t="s">
        <v>107</v>
      </c>
      <c r="X105" t="s">
        <v>103</v>
      </c>
      <c r="Y105" t="s">
        <v>102</v>
      </c>
      <c r="Z105" t="s">
        <v>104</v>
      </c>
      <c r="AA105" t="s">
        <v>104</v>
      </c>
      <c r="AB105" t="s">
        <v>105</v>
      </c>
      <c r="AC105" t="s">
        <v>104</v>
      </c>
      <c r="AD105" t="s">
        <v>104</v>
      </c>
      <c r="AE105" t="s">
        <v>103</v>
      </c>
      <c r="AF105" t="s">
        <v>104</v>
      </c>
      <c r="AG105" t="s">
        <v>103</v>
      </c>
      <c r="AH105" t="s">
        <v>104</v>
      </c>
      <c r="AI105" t="s">
        <v>103</v>
      </c>
    </row>
    <row r="106" spans="1:35" x14ac:dyDescent="0.25">
      <c r="A106" t="s">
        <v>503</v>
      </c>
      <c r="B106" t="s">
        <v>504</v>
      </c>
      <c r="C106" t="s">
        <v>505</v>
      </c>
      <c r="D106" t="s">
        <v>116</v>
      </c>
      <c r="E106" t="s">
        <v>137</v>
      </c>
      <c r="F106" t="s">
        <v>103</v>
      </c>
      <c r="G106" t="s">
        <v>102</v>
      </c>
      <c r="H106" t="s">
        <v>102</v>
      </c>
      <c r="I106" t="s">
        <v>102</v>
      </c>
      <c r="J106" t="s">
        <v>102</v>
      </c>
      <c r="K106" t="s">
        <v>106</v>
      </c>
      <c r="L106" t="s">
        <v>104</v>
      </c>
      <c r="M106" t="s">
        <v>102</v>
      </c>
      <c r="N106" t="s">
        <v>102</v>
      </c>
      <c r="O106" t="s">
        <v>102</v>
      </c>
      <c r="P106" t="s">
        <v>102</v>
      </c>
      <c r="Q106" t="s">
        <v>103</v>
      </c>
      <c r="R106" t="s">
        <v>102</v>
      </c>
      <c r="S106" t="s">
        <v>102</v>
      </c>
      <c r="T106" t="s">
        <v>102</v>
      </c>
      <c r="U106" t="s">
        <v>104</v>
      </c>
      <c r="V106" t="s">
        <v>102</v>
      </c>
      <c r="W106" t="s">
        <v>102</v>
      </c>
      <c r="X106" t="s">
        <v>102</v>
      </c>
      <c r="Y106" t="s">
        <v>107</v>
      </c>
      <c r="Z106" t="s">
        <v>102</v>
      </c>
      <c r="AA106" t="s">
        <v>106</v>
      </c>
      <c r="AB106" t="s">
        <v>102</v>
      </c>
      <c r="AC106" t="s">
        <v>107</v>
      </c>
      <c r="AD106" t="s">
        <v>103</v>
      </c>
      <c r="AE106" t="s">
        <v>108</v>
      </c>
      <c r="AF106" t="s">
        <v>102</v>
      </c>
      <c r="AG106" t="s">
        <v>103</v>
      </c>
      <c r="AH106" t="s">
        <v>103</v>
      </c>
      <c r="AI106" t="s">
        <v>102</v>
      </c>
    </row>
    <row r="107" spans="1:35" x14ac:dyDescent="0.25">
      <c r="A107" t="s">
        <v>506</v>
      </c>
      <c r="B107" t="s">
        <v>507</v>
      </c>
      <c r="C107" t="s">
        <v>508</v>
      </c>
      <c r="D107" t="s">
        <v>211</v>
      </c>
      <c r="E107" t="s">
        <v>212</v>
      </c>
      <c r="F107" t="s">
        <v>102</v>
      </c>
      <c r="G107" t="s">
        <v>103</v>
      </c>
      <c r="H107" t="s">
        <v>102</v>
      </c>
      <c r="I107" t="s">
        <v>102</v>
      </c>
      <c r="J107" t="s">
        <v>102</v>
      </c>
      <c r="K107" t="s">
        <v>103</v>
      </c>
      <c r="L107" t="s">
        <v>102</v>
      </c>
      <c r="M107" t="s">
        <v>102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106</v>
      </c>
      <c r="V107" t="s">
        <v>102</v>
      </c>
      <c r="W107" t="s">
        <v>102</v>
      </c>
      <c r="X107" t="s">
        <v>102</v>
      </c>
      <c r="Y107" t="s">
        <v>103</v>
      </c>
      <c r="Z107" t="s">
        <v>102</v>
      </c>
      <c r="AA107" t="s">
        <v>103</v>
      </c>
      <c r="AB107" t="s">
        <v>103</v>
      </c>
      <c r="AC107" t="s">
        <v>102</v>
      </c>
      <c r="AD107" t="s">
        <v>102</v>
      </c>
      <c r="AE107" t="s">
        <v>103</v>
      </c>
      <c r="AF107" t="s">
        <v>102</v>
      </c>
      <c r="AG107" t="s">
        <v>102</v>
      </c>
      <c r="AH107" t="s">
        <v>103</v>
      </c>
      <c r="AI107" t="s">
        <v>102</v>
      </c>
    </row>
    <row r="108" spans="1:35" x14ac:dyDescent="0.25">
      <c r="A108" t="s">
        <v>509</v>
      </c>
      <c r="B108" t="s">
        <v>510</v>
      </c>
      <c r="C108" t="s">
        <v>511</v>
      </c>
      <c r="D108" t="s">
        <v>512</v>
      </c>
      <c r="E108" t="s">
        <v>393</v>
      </c>
      <c r="F108" t="s">
        <v>103</v>
      </c>
      <c r="G108" t="s">
        <v>102</v>
      </c>
      <c r="H108" t="s">
        <v>103</v>
      </c>
      <c r="I108" t="s">
        <v>102</v>
      </c>
      <c r="J108" t="s">
        <v>102</v>
      </c>
      <c r="K108" t="s">
        <v>105</v>
      </c>
      <c r="L108" t="s">
        <v>102</v>
      </c>
      <c r="M108" t="s">
        <v>103</v>
      </c>
      <c r="N108" t="s">
        <v>103</v>
      </c>
      <c r="O108" t="s">
        <v>103</v>
      </c>
      <c r="P108" t="s">
        <v>102</v>
      </c>
      <c r="Q108" t="s">
        <v>105</v>
      </c>
      <c r="R108" t="s">
        <v>102</v>
      </c>
      <c r="S108" t="s">
        <v>102</v>
      </c>
      <c r="T108" t="s">
        <v>103</v>
      </c>
      <c r="U108" t="s">
        <v>104</v>
      </c>
      <c r="V108" t="s">
        <v>103</v>
      </c>
      <c r="W108" t="s">
        <v>104</v>
      </c>
      <c r="X108" t="s">
        <v>102</v>
      </c>
      <c r="Y108" t="s">
        <v>106</v>
      </c>
      <c r="Z108" t="s">
        <v>106</v>
      </c>
      <c r="AA108" t="s">
        <v>103</v>
      </c>
      <c r="AB108" t="s">
        <v>103</v>
      </c>
      <c r="AC108" t="s">
        <v>107</v>
      </c>
      <c r="AD108" t="s">
        <v>103</v>
      </c>
      <c r="AE108" t="s">
        <v>106</v>
      </c>
      <c r="AF108" t="s">
        <v>106</v>
      </c>
      <c r="AG108" t="s">
        <v>102</v>
      </c>
      <c r="AH108" t="s">
        <v>102</v>
      </c>
      <c r="AI108" t="s">
        <v>104</v>
      </c>
    </row>
    <row r="109" spans="1:35" x14ac:dyDescent="0.25">
      <c r="A109" t="s">
        <v>513</v>
      </c>
      <c r="B109" t="s">
        <v>514</v>
      </c>
      <c r="C109" t="s">
        <v>515</v>
      </c>
      <c r="D109" t="s">
        <v>516</v>
      </c>
      <c r="E109" t="s">
        <v>284</v>
      </c>
      <c r="F109" t="s">
        <v>103</v>
      </c>
      <c r="G109" t="s">
        <v>103</v>
      </c>
      <c r="H109" t="s">
        <v>106</v>
      </c>
      <c r="I109" t="s">
        <v>104</v>
      </c>
      <c r="J109" t="s">
        <v>106</v>
      </c>
      <c r="K109" t="s">
        <v>104</v>
      </c>
      <c r="L109" t="s">
        <v>104</v>
      </c>
      <c r="M109" t="s">
        <v>102</v>
      </c>
      <c r="N109" t="s">
        <v>103</v>
      </c>
      <c r="O109" t="s">
        <v>103</v>
      </c>
      <c r="P109" t="s">
        <v>104</v>
      </c>
      <c r="Q109" t="s">
        <v>103</v>
      </c>
      <c r="R109" t="s">
        <v>103</v>
      </c>
      <c r="S109" t="s">
        <v>103</v>
      </c>
      <c r="T109" t="s">
        <v>106</v>
      </c>
      <c r="U109" t="s">
        <v>106</v>
      </c>
      <c r="V109" t="s">
        <v>106</v>
      </c>
      <c r="W109" t="s">
        <v>104</v>
      </c>
      <c r="X109" t="s">
        <v>103</v>
      </c>
      <c r="Y109" t="s">
        <v>103</v>
      </c>
      <c r="Z109" t="s">
        <v>103</v>
      </c>
      <c r="AA109" t="s">
        <v>106</v>
      </c>
      <c r="AB109" t="s">
        <v>103</v>
      </c>
      <c r="AC109" t="s">
        <v>106</v>
      </c>
      <c r="AD109" t="s">
        <v>103</v>
      </c>
      <c r="AE109" t="s">
        <v>106</v>
      </c>
      <c r="AF109" t="s">
        <v>103</v>
      </c>
      <c r="AG109" t="s">
        <v>103</v>
      </c>
      <c r="AH109" t="s">
        <v>104</v>
      </c>
      <c r="AI109" t="s">
        <v>103</v>
      </c>
    </row>
    <row r="110" spans="1:35" x14ac:dyDescent="0.25">
      <c r="A110" t="s">
        <v>517</v>
      </c>
      <c r="B110" t="s">
        <v>518</v>
      </c>
      <c r="C110" t="s">
        <v>519</v>
      </c>
      <c r="D110" t="s">
        <v>520</v>
      </c>
      <c r="E110" t="s">
        <v>521</v>
      </c>
      <c r="F110" t="s">
        <v>105</v>
      </c>
      <c r="G110" t="s">
        <v>102</v>
      </c>
      <c r="H110" t="s">
        <v>104</v>
      </c>
      <c r="I110" t="s">
        <v>102</v>
      </c>
      <c r="J110" t="s">
        <v>102</v>
      </c>
      <c r="K110" t="s">
        <v>105</v>
      </c>
      <c r="L110" t="s">
        <v>102</v>
      </c>
      <c r="M110" t="s">
        <v>102</v>
      </c>
      <c r="N110" t="s">
        <v>102</v>
      </c>
      <c r="O110" t="s">
        <v>104</v>
      </c>
      <c r="P110" t="s">
        <v>106</v>
      </c>
      <c r="Q110" t="s">
        <v>105</v>
      </c>
      <c r="R110" t="s">
        <v>102</v>
      </c>
      <c r="S110" t="s">
        <v>102</v>
      </c>
      <c r="T110" t="s">
        <v>104</v>
      </c>
      <c r="U110" t="s">
        <v>108</v>
      </c>
      <c r="V110" t="s">
        <v>102</v>
      </c>
      <c r="W110" t="s">
        <v>105</v>
      </c>
      <c r="X110" t="s">
        <v>104</v>
      </c>
      <c r="Y110" t="s">
        <v>102</v>
      </c>
      <c r="Z110" t="s">
        <v>104</v>
      </c>
      <c r="AA110" t="s">
        <v>104</v>
      </c>
      <c r="AB110" t="s">
        <v>108</v>
      </c>
      <c r="AC110" t="s">
        <v>105</v>
      </c>
      <c r="AD110" t="s">
        <v>104</v>
      </c>
      <c r="AE110" t="s">
        <v>104</v>
      </c>
      <c r="AF110" t="s">
        <v>102</v>
      </c>
      <c r="AG110" t="s">
        <v>104</v>
      </c>
      <c r="AH110" t="s">
        <v>102</v>
      </c>
      <c r="AI110" t="s">
        <v>107</v>
      </c>
    </row>
    <row r="111" spans="1:35" x14ac:dyDescent="0.25">
      <c r="A111" t="s">
        <v>522</v>
      </c>
      <c r="B111" t="s">
        <v>523</v>
      </c>
      <c r="C111" t="s">
        <v>524</v>
      </c>
      <c r="D111" t="s">
        <v>525</v>
      </c>
      <c r="E111" t="s">
        <v>526</v>
      </c>
      <c r="F111" t="s">
        <v>106</v>
      </c>
      <c r="G111" t="s">
        <v>103</v>
      </c>
      <c r="H111" t="s">
        <v>104</v>
      </c>
      <c r="I111" t="s">
        <v>103</v>
      </c>
      <c r="J111" t="s">
        <v>102</v>
      </c>
      <c r="K111" t="s">
        <v>106</v>
      </c>
      <c r="L111" t="s">
        <v>102</v>
      </c>
      <c r="M111" t="s">
        <v>102</v>
      </c>
      <c r="N111" t="s">
        <v>103</v>
      </c>
      <c r="O111" t="s">
        <v>106</v>
      </c>
      <c r="P111" t="s">
        <v>103</v>
      </c>
      <c r="Q111" t="s">
        <v>103</v>
      </c>
      <c r="R111" t="s">
        <v>102</v>
      </c>
      <c r="S111" t="s">
        <v>102</v>
      </c>
      <c r="T111" t="s">
        <v>103</v>
      </c>
      <c r="U111" t="s">
        <v>103</v>
      </c>
      <c r="V111" t="s">
        <v>103</v>
      </c>
      <c r="W111" t="s">
        <v>104</v>
      </c>
      <c r="X111" t="s">
        <v>103</v>
      </c>
      <c r="Y111" t="s">
        <v>103</v>
      </c>
      <c r="Z111" t="s">
        <v>106</v>
      </c>
      <c r="AA111" t="s">
        <v>104</v>
      </c>
      <c r="AB111" t="s">
        <v>102</v>
      </c>
      <c r="AC111" t="s">
        <v>103</v>
      </c>
      <c r="AD111" t="s">
        <v>102</v>
      </c>
      <c r="AE111" t="s">
        <v>106</v>
      </c>
      <c r="AF111" t="s">
        <v>106</v>
      </c>
      <c r="AG111" t="s">
        <v>103</v>
      </c>
      <c r="AH111" t="s">
        <v>102</v>
      </c>
      <c r="AI111" t="s">
        <v>102</v>
      </c>
    </row>
    <row r="112" spans="1:35" x14ac:dyDescent="0.25">
      <c r="A112" t="s">
        <v>527</v>
      </c>
      <c r="B112" t="s">
        <v>528</v>
      </c>
      <c r="C112" t="s">
        <v>529</v>
      </c>
      <c r="D112" t="s">
        <v>530</v>
      </c>
      <c r="E112" t="s">
        <v>531</v>
      </c>
      <c r="F112" t="s">
        <v>106</v>
      </c>
      <c r="G112" t="s">
        <v>106</v>
      </c>
      <c r="H112" t="s">
        <v>103</v>
      </c>
      <c r="I112" t="s">
        <v>104</v>
      </c>
      <c r="J112" t="s">
        <v>106</v>
      </c>
      <c r="K112" t="s">
        <v>103</v>
      </c>
      <c r="L112" t="s">
        <v>106</v>
      </c>
      <c r="M112" t="s">
        <v>102</v>
      </c>
      <c r="N112" t="s">
        <v>103</v>
      </c>
      <c r="O112" t="s">
        <v>106</v>
      </c>
      <c r="P112" t="s">
        <v>104</v>
      </c>
      <c r="Q112" t="s">
        <v>102</v>
      </c>
      <c r="R112" t="s">
        <v>106</v>
      </c>
      <c r="S112" t="s">
        <v>102</v>
      </c>
      <c r="T112" t="s">
        <v>106</v>
      </c>
      <c r="U112" t="s">
        <v>104</v>
      </c>
      <c r="V112" t="s">
        <v>102</v>
      </c>
      <c r="W112" t="s">
        <v>102</v>
      </c>
      <c r="X112" t="s">
        <v>106</v>
      </c>
      <c r="Y112" t="s">
        <v>106</v>
      </c>
      <c r="Z112" t="s">
        <v>104</v>
      </c>
      <c r="AA112" t="s">
        <v>104</v>
      </c>
      <c r="AB112" t="s">
        <v>106</v>
      </c>
      <c r="AC112" t="s">
        <v>104</v>
      </c>
      <c r="AD112" t="s">
        <v>102</v>
      </c>
      <c r="AE112" t="s">
        <v>103</v>
      </c>
      <c r="AF112" t="s">
        <v>106</v>
      </c>
      <c r="AG112" t="s">
        <v>102</v>
      </c>
      <c r="AH112" t="s">
        <v>103</v>
      </c>
      <c r="AI112" t="s">
        <v>102</v>
      </c>
    </row>
    <row r="113" spans="1:35" x14ac:dyDescent="0.25">
      <c r="A113" t="s">
        <v>532</v>
      </c>
      <c r="B113" t="s">
        <v>533</v>
      </c>
      <c r="C113" t="s">
        <v>534</v>
      </c>
      <c r="D113" t="s">
        <v>535</v>
      </c>
      <c r="E113" t="s">
        <v>142</v>
      </c>
      <c r="F113" t="s">
        <v>103</v>
      </c>
      <c r="G113" t="s">
        <v>103</v>
      </c>
      <c r="H113" t="s">
        <v>108</v>
      </c>
      <c r="I113" t="s">
        <v>104</v>
      </c>
      <c r="J113" t="s">
        <v>103</v>
      </c>
      <c r="K113" t="s">
        <v>102</v>
      </c>
      <c r="L113" t="s">
        <v>111</v>
      </c>
      <c r="M113" t="s">
        <v>102</v>
      </c>
      <c r="N113" t="s">
        <v>103</v>
      </c>
      <c r="O113" t="s">
        <v>103</v>
      </c>
      <c r="P113" t="s">
        <v>103</v>
      </c>
      <c r="Q113" t="s">
        <v>111</v>
      </c>
      <c r="R113" t="s">
        <v>102</v>
      </c>
      <c r="S113" t="s">
        <v>103</v>
      </c>
      <c r="T113" t="s">
        <v>115</v>
      </c>
      <c r="U113" t="s">
        <v>115</v>
      </c>
      <c r="V113" t="s">
        <v>103</v>
      </c>
      <c r="W113" t="s">
        <v>103</v>
      </c>
      <c r="X113" t="s">
        <v>106</v>
      </c>
      <c r="Y113" t="s">
        <v>103</v>
      </c>
      <c r="Z113" t="s">
        <v>188</v>
      </c>
      <c r="AA113" t="s">
        <v>107</v>
      </c>
      <c r="AB113" t="s">
        <v>106</v>
      </c>
      <c r="AC113" t="s">
        <v>188</v>
      </c>
      <c r="AD113" t="s">
        <v>103</v>
      </c>
      <c r="AE113" t="s">
        <v>115</v>
      </c>
      <c r="AF113" t="s">
        <v>536</v>
      </c>
      <c r="AG113" t="s">
        <v>110</v>
      </c>
      <c r="AH113" t="s">
        <v>102</v>
      </c>
      <c r="AI113" t="s">
        <v>106</v>
      </c>
    </row>
    <row r="114" spans="1:35" x14ac:dyDescent="0.25">
      <c r="A114" t="s">
        <v>537</v>
      </c>
      <c r="B114" t="s">
        <v>538</v>
      </c>
      <c r="C114" t="s">
        <v>539</v>
      </c>
      <c r="D114" t="s">
        <v>540</v>
      </c>
      <c r="E114" t="s">
        <v>405</v>
      </c>
      <c r="F114" t="s">
        <v>106</v>
      </c>
      <c r="G114" t="s">
        <v>103</v>
      </c>
      <c r="H114" t="s">
        <v>103</v>
      </c>
      <c r="I114" t="s">
        <v>103</v>
      </c>
      <c r="J114" t="s">
        <v>103</v>
      </c>
      <c r="K114" t="s">
        <v>106</v>
      </c>
      <c r="L114" t="s">
        <v>102</v>
      </c>
      <c r="M114" t="s">
        <v>102</v>
      </c>
      <c r="N114" t="s">
        <v>102</v>
      </c>
      <c r="O114" t="s">
        <v>106</v>
      </c>
      <c r="P114" t="s">
        <v>103</v>
      </c>
      <c r="Q114" t="s">
        <v>103</v>
      </c>
      <c r="R114" t="s">
        <v>106</v>
      </c>
      <c r="S114" t="s">
        <v>541</v>
      </c>
      <c r="T114" t="s">
        <v>106</v>
      </c>
      <c r="U114" t="s">
        <v>104</v>
      </c>
      <c r="V114" t="s">
        <v>103</v>
      </c>
      <c r="W114" t="s">
        <v>103</v>
      </c>
      <c r="X114" t="s">
        <v>106</v>
      </c>
      <c r="Y114" t="s">
        <v>106</v>
      </c>
      <c r="Z114" t="s">
        <v>106</v>
      </c>
      <c r="AA114" t="s">
        <v>106</v>
      </c>
      <c r="AB114" t="s">
        <v>106</v>
      </c>
      <c r="AC114" t="s">
        <v>106</v>
      </c>
      <c r="AD114" t="s">
        <v>106</v>
      </c>
      <c r="AE114" t="s">
        <v>103</v>
      </c>
      <c r="AF114" t="s">
        <v>106</v>
      </c>
      <c r="AG114" t="s">
        <v>102</v>
      </c>
      <c r="AH114" t="s">
        <v>103</v>
      </c>
      <c r="AI114" t="s">
        <v>106</v>
      </c>
    </row>
    <row r="115" spans="1:35" x14ac:dyDescent="0.25">
      <c r="A115" t="s">
        <v>542</v>
      </c>
      <c r="B115" t="s">
        <v>543</v>
      </c>
      <c r="C115" t="s">
        <v>544</v>
      </c>
      <c r="D115" t="s">
        <v>545</v>
      </c>
      <c r="E115" t="s">
        <v>405</v>
      </c>
      <c r="F115" t="s">
        <v>106</v>
      </c>
      <c r="G115" t="s">
        <v>103</v>
      </c>
      <c r="H115" t="s">
        <v>104</v>
      </c>
      <c r="I115" t="s">
        <v>103</v>
      </c>
      <c r="J115" t="s">
        <v>106</v>
      </c>
      <c r="K115" t="s">
        <v>107</v>
      </c>
      <c r="L115" t="s">
        <v>102</v>
      </c>
      <c r="M115" t="s">
        <v>103</v>
      </c>
      <c r="N115" t="s">
        <v>103</v>
      </c>
      <c r="O115" t="s">
        <v>103</v>
      </c>
      <c r="P115" t="s">
        <v>103</v>
      </c>
      <c r="Q115" t="s">
        <v>107</v>
      </c>
      <c r="R115" t="s">
        <v>106</v>
      </c>
      <c r="S115" t="s">
        <v>102</v>
      </c>
      <c r="T115" t="s">
        <v>106</v>
      </c>
      <c r="U115" t="s">
        <v>104</v>
      </c>
      <c r="V115" t="s">
        <v>103</v>
      </c>
      <c r="W115" t="s">
        <v>107</v>
      </c>
      <c r="X115" t="s">
        <v>103</v>
      </c>
      <c r="Y115" t="s">
        <v>103</v>
      </c>
      <c r="Z115" t="s">
        <v>107</v>
      </c>
      <c r="AA115" t="s">
        <v>104</v>
      </c>
      <c r="AB115" t="s">
        <v>104</v>
      </c>
      <c r="AC115" t="s">
        <v>107</v>
      </c>
      <c r="AD115" t="s">
        <v>103</v>
      </c>
      <c r="AE115" t="s">
        <v>104</v>
      </c>
      <c r="AF115" t="s">
        <v>104</v>
      </c>
      <c r="AG115" t="s">
        <v>106</v>
      </c>
      <c r="AH115" t="s">
        <v>104</v>
      </c>
      <c r="AI115" t="s">
        <v>107</v>
      </c>
    </row>
    <row r="116" spans="1:35" x14ac:dyDescent="0.25">
      <c r="A116" t="s">
        <v>546</v>
      </c>
      <c r="B116" t="s">
        <v>547</v>
      </c>
      <c r="C116" t="s">
        <v>548</v>
      </c>
      <c r="D116" t="s">
        <v>211</v>
      </c>
      <c r="E116" t="s">
        <v>212</v>
      </c>
      <c r="F116" t="s">
        <v>106</v>
      </c>
      <c r="G116" t="s">
        <v>106</v>
      </c>
      <c r="H116" t="s">
        <v>107</v>
      </c>
      <c r="I116" t="s">
        <v>106</v>
      </c>
      <c r="J116" t="s">
        <v>106</v>
      </c>
      <c r="K116" t="s">
        <v>106</v>
      </c>
      <c r="L116" t="s">
        <v>103</v>
      </c>
      <c r="M116" t="s">
        <v>103</v>
      </c>
      <c r="N116" t="s">
        <v>106</v>
      </c>
      <c r="O116" t="s">
        <v>104</v>
      </c>
      <c r="P116" t="s">
        <v>106</v>
      </c>
      <c r="Q116" t="s">
        <v>104</v>
      </c>
      <c r="R116" t="s">
        <v>106</v>
      </c>
      <c r="S116" t="s">
        <v>106</v>
      </c>
      <c r="T116" t="s">
        <v>104</v>
      </c>
      <c r="U116" t="s">
        <v>104</v>
      </c>
      <c r="V116" t="s">
        <v>106</v>
      </c>
      <c r="W116" t="s">
        <v>106</v>
      </c>
      <c r="X116" t="s">
        <v>104</v>
      </c>
      <c r="Y116" t="s">
        <v>106</v>
      </c>
      <c r="Z116" t="s">
        <v>107</v>
      </c>
      <c r="AA116" t="s">
        <v>104</v>
      </c>
      <c r="AB116" t="s">
        <v>106</v>
      </c>
      <c r="AC116" t="s">
        <v>106</v>
      </c>
      <c r="AD116" t="s">
        <v>106</v>
      </c>
      <c r="AE116" t="s">
        <v>106</v>
      </c>
      <c r="AF116" t="s">
        <v>104</v>
      </c>
      <c r="AG116" t="s">
        <v>106</v>
      </c>
      <c r="AH116" t="s">
        <v>106</v>
      </c>
      <c r="AI116" t="s">
        <v>106</v>
      </c>
    </row>
    <row r="117" spans="1:35" x14ac:dyDescent="0.25">
      <c r="A117" t="s">
        <v>549</v>
      </c>
      <c r="B117" t="s">
        <v>550</v>
      </c>
      <c r="C117" t="s">
        <v>551</v>
      </c>
      <c r="D117" t="s">
        <v>552</v>
      </c>
      <c r="E117" t="s">
        <v>553</v>
      </c>
      <c r="F117" t="s">
        <v>103</v>
      </c>
      <c r="G117" t="s">
        <v>103</v>
      </c>
      <c r="H117" t="s">
        <v>107</v>
      </c>
      <c r="I117" t="s">
        <v>106</v>
      </c>
      <c r="J117" t="s">
        <v>106</v>
      </c>
      <c r="K117" t="s">
        <v>106</v>
      </c>
      <c r="L117" t="s">
        <v>104</v>
      </c>
      <c r="M117" t="s">
        <v>104</v>
      </c>
      <c r="N117" t="s">
        <v>106</v>
      </c>
      <c r="O117" t="s">
        <v>107</v>
      </c>
      <c r="P117" t="s">
        <v>106</v>
      </c>
      <c r="Q117" t="s">
        <v>104</v>
      </c>
      <c r="R117" t="s">
        <v>103</v>
      </c>
      <c r="S117" t="s">
        <v>103</v>
      </c>
      <c r="T117" t="s">
        <v>107</v>
      </c>
      <c r="U117" t="s">
        <v>108</v>
      </c>
      <c r="V117" t="s">
        <v>107</v>
      </c>
      <c r="W117" t="s">
        <v>106</v>
      </c>
      <c r="X117" t="s">
        <v>106</v>
      </c>
      <c r="Y117" t="s">
        <v>106</v>
      </c>
      <c r="Z117" t="s">
        <v>104</v>
      </c>
      <c r="AA117" t="s">
        <v>104</v>
      </c>
      <c r="AB117" t="s">
        <v>106</v>
      </c>
      <c r="AC117" t="s">
        <v>106</v>
      </c>
      <c r="AD117" t="s">
        <v>103</v>
      </c>
      <c r="AE117" t="s">
        <v>106</v>
      </c>
      <c r="AF117" t="s">
        <v>106</v>
      </c>
      <c r="AG117" t="s">
        <v>106</v>
      </c>
      <c r="AH117" t="s">
        <v>106</v>
      </c>
      <c r="AI117" t="s">
        <v>106</v>
      </c>
    </row>
    <row r="118" spans="1:35" x14ac:dyDescent="0.25">
      <c r="A118" t="s">
        <v>554</v>
      </c>
      <c r="B118" t="s">
        <v>555</v>
      </c>
      <c r="C118" t="s">
        <v>556</v>
      </c>
      <c r="D118" t="s">
        <v>557</v>
      </c>
      <c r="E118" t="s">
        <v>558</v>
      </c>
      <c r="F118" t="s">
        <v>104</v>
      </c>
      <c r="G118" t="s">
        <v>102</v>
      </c>
      <c r="H118" t="s">
        <v>107</v>
      </c>
      <c r="I118" t="s">
        <v>104</v>
      </c>
      <c r="J118" t="s">
        <v>102</v>
      </c>
      <c r="K118" t="s">
        <v>107</v>
      </c>
      <c r="L118" t="s">
        <v>102</v>
      </c>
      <c r="M118" t="s">
        <v>107</v>
      </c>
      <c r="N118" t="s">
        <v>104</v>
      </c>
      <c r="O118" t="s">
        <v>103</v>
      </c>
      <c r="P118" t="s">
        <v>106</v>
      </c>
      <c r="Q118" t="s">
        <v>108</v>
      </c>
      <c r="R118" t="s">
        <v>102</v>
      </c>
      <c r="S118" t="s">
        <v>103</v>
      </c>
      <c r="T118" t="s">
        <v>104</v>
      </c>
      <c r="U118" t="s">
        <v>104</v>
      </c>
      <c r="V118" t="s">
        <v>102</v>
      </c>
      <c r="W118" t="s">
        <v>102</v>
      </c>
      <c r="X118" t="s">
        <v>102</v>
      </c>
      <c r="Y118" t="s">
        <v>103</v>
      </c>
      <c r="Z118" t="s">
        <v>102</v>
      </c>
      <c r="AA118" t="s">
        <v>104</v>
      </c>
      <c r="AB118" t="s">
        <v>102</v>
      </c>
      <c r="AC118" t="s">
        <v>107</v>
      </c>
      <c r="AD118" t="s">
        <v>104</v>
      </c>
      <c r="AE118" t="s">
        <v>103</v>
      </c>
      <c r="AF118" t="s">
        <v>106</v>
      </c>
      <c r="AG118" t="s">
        <v>102</v>
      </c>
      <c r="AH118" t="s">
        <v>103</v>
      </c>
      <c r="AI118" t="s">
        <v>107</v>
      </c>
    </row>
    <row r="119" spans="1:35" x14ac:dyDescent="0.25">
      <c r="A119" t="s">
        <v>559</v>
      </c>
      <c r="B119" t="s">
        <v>560</v>
      </c>
      <c r="C119" t="s">
        <v>561</v>
      </c>
      <c r="D119" t="s">
        <v>562</v>
      </c>
      <c r="E119" t="s">
        <v>137</v>
      </c>
      <c r="F119" t="s">
        <v>106</v>
      </c>
      <c r="G119" t="s">
        <v>102</v>
      </c>
      <c r="H119" t="s">
        <v>103</v>
      </c>
      <c r="I119" t="s">
        <v>102</v>
      </c>
      <c r="J119" t="s">
        <v>102</v>
      </c>
      <c r="K119" t="s">
        <v>107</v>
      </c>
      <c r="L119" t="s">
        <v>103</v>
      </c>
      <c r="M119" t="s">
        <v>103</v>
      </c>
      <c r="N119" t="s">
        <v>103</v>
      </c>
      <c r="O119" t="s">
        <v>106</v>
      </c>
      <c r="P119" t="s">
        <v>102</v>
      </c>
      <c r="Q119" t="s">
        <v>103</v>
      </c>
      <c r="R119" t="s">
        <v>104</v>
      </c>
      <c r="S119" t="s">
        <v>106</v>
      </c>
      <c r="T119" t="s">
        <v>107</v>
      </c>
      <c r="U119" t="s">
        <v>107</v>
      </c>
      <c r="V119" t="s">
        <v>104</v>
      </c>
      <c r="W119" t="s">
        <v>107</v>
      </c>
      <c r="X119" t="s">
        <v>104</v>
      </c>
      <c r="Y119" t="s">
        <v>102</v>
      </c>
      <c r="Z119" t="s">
        <v>104</v>
      </c>
      <c r="AA119" t="s">
        <v>104</v>
      </c>
      <c r="AB119" t="s">
        <v>104</v>
      </c>
      <c r="AC119" t="s">
        <v>105</v>
      </c>
      <c r="AD119" t="s">
        <v>103</v>
      </c>
      <c r="AE119" t="s">
        <v>107</v>
      </c>
      <c r="AF119" t="s">
        <v>104</v>
      </c>
      <c r="AG119" t="s">
        <v>104</v>
      </c>
      <c r="AH119" t="s">
        <v>104</v>
      </c>
      <c r="AI119" t="s">
        <v>106</v>
      </c>
    </row>
    <row r="120" spans="1:35" x14ac:dyDescent="0.25">
      <c r="A120" t="s">
        <v>563</v>
      </c>
      <c r="B120" t="s">
        <v>564</v>
      </c>
      <c r="C120" t="s">
        <v>565</v>
      </c>
      <c r="D120" t="s">
        <v>211</v>
      </c>
      <c r="E120" t="s">
        <v>405</v>
      </c>
      <c r="F120" t="s">
        <v>102</v>
      </c>
      <c r="G120" t="s">
        <v>103</v>
      </c>
      <c r="H120" t="s">
        <v>103</v>
      </c>
      <c r="I120" t="s">
        <v>102</v>
      </c>
      <c r="J120" t="s">
        <v>102</v>
      </c>
      <c r="K120" t="s">
        <v>108</v>
      </c>
      <c r="L120" t="s">
        <v>102</v>
      </c>
      <c r="M120" t="s">
        <v>102</v>
      </c>
      <c r="N120" t="s">
        <v>102</v>
      </c>
      <c r="O120" t="s">
        <v>103</v>
      </c>
      <c r="P120" t="s">
        <v>104</v>
      </c>
      <c r="Q120" t="s">
        <v>105</v>
      </c>
      <c r="R120" t="s">
        <v>102</v>
      </c>
      <c r="S120" t="s">
        <v>102</v>
      </c>
      <c r="T120" t="s">
        <v>103</v>
      </c>
      <c r="U120" t="s">
        <v>103</v>
      </c>
      <c r="V120" t="s">
        <v>102</v>
      </c>
      <c r="W120" t="s">
        <v>107</v>
      </c>
      <c r="X120" t="s">
        <v>103</v>
      </c>
      <c r="Y120" t="s">
        <v>106</v>
      </c>
      <c r="Z120" t="s">
        <v>103</v>
      </c>
      <c r="AA120" t="s">
        <v>103</v>
      </c>
      <c r="AB120" t="s">
        <v>102</v>
      </c>
      <c r="AC120" t="s">
        <v>103</v>
      </c>
      <c r="AD120" t="s">
        <v>102</v>
      </c>
      <c r="AE120" t="s">
        <v>102</v>
      </c>
      <c r="AF120" t="s">
        <v>103</v>
      </c>
      <c r="AG120" t="s">
        <v>102</v>
      </c>
      <c r="AH120" t="s">
        <v>102</v>
      </c>
      <c r="AI120" t="s">
        <v>103</v>
      </c>
    </row>
    <row r="121" spans="1:35" x14ac:dyDescent="0.25">
      <c r="A121" t="s">
        <v>566</v>
      </c>
      <c r="B121" t="s">
        <v>567</v>
      </c>
      <c r="C121" t="s">
        <v>568</v>
      </c>
      <c r="D121" t="s">
        <v>444</v>
      </c>
      <c r="E121" t="s">
        <v>212</v>
      </c>
      <c r="F121" t="s">
        <v>104</v>
      </c>
      <c r="G121" t="s">
        <v>106</v>
      </c>
      <c r="H121" t="s">
        <v>104</v>
      </c>
      <c r="I121" t="s">
        <v>104</v>
      </c>
      <c r="J121" t="s">
        <v>104</v>
      </c>
      <c r="K121" t="s">
        <v>104</v>
      </c>
      <c r="L121" t="s">
        <v>104</v>
      </c>
      <c r="M121" t="s">
        <v>106</v>
      </c>
      <c r="N121" t="s">
        <v>106</v>
      </c>
      <c r="O121" t="s">
        <v>106</v>
      </c>
      <c r="P121" t="s">
        <v>103</v>
      </c>
      <c r="Q121" t="s">
        <v>104</v>
      </c>
      <c r="R121" t="s">
        <v>104</v>
      </c>
      <c r="S121" t="s">
        <v>106</v>
      </c>
      <c r="T121" t="s">
        <v>104</v>
      </c>
      <c r="U121" t="s">
        <v>104</v>
      </c>
      <c r="V121" t="s">
        <v>106</v>
      </c>
      <c r="W121" t="s">
        <v>106</v>
      </c>
      <c r="X121" t="s">
        <v>106</v>
      </c>
      <c r="Y121" t="s">
        <v>106</v>
      </c>
      <c r="Z121" t="s">
        <v>106</v>
      </c>
      <c r="AA121" t="s">
        <v>106</v>
      </c>
      <c r="AB121" t="s">
        <v>104</v>
      </c>
      <c r="AC121" t="s">
        <v>104</v>
      </c>
      <c r="AD121" t="s">
        <v>106</v>
      </c>
      <c r="AE121" t="s">
        <v>106</v>
      </c>
      <c r="AF121" t="s">
        <v>104</v>
      </c>
      <c r="AG121" t="s">
        <v>104</v>
      </c>
      <c r="AH121" t="s">
        <v>104</v>
      </c>
      <c r="AI121" t="s">
        <v>104</v>
      </c>
    </row>
    <row r="122" spans="1:35" x14ac:dyDescent="0.25">
      <c r="A122" s="2"/>
      <c r="B122" s="2"/>
      <c r="C122" s="2"/>
      <c r="D122" s="2"/>
      <c r="E122" s="2"/>
    </row>
    <row r="123" spans="1:35" x14ac:dyDescent="0.25">
      <c r="A123" s="2"/>
      <c r="B123" s="2"/>
      <c r="C123" s="2"/>
      <c r="D123" s="2"/>
      <c r="E123" s="2"/>
    </row>
    <row r="124" spans="1:35" x14ac:dyDescent="0.25">
      <c r="A124" s="2"/>
      <c r="B124" s="2"/>
      <c r="C124" s="2"/>
      <c r="D124" s="2"/>
      <c r="E124" s="2"/>
    </row>
    <row r="125" spans="1:35" x14ac:dyDescent="0.25">
      <c r="A125" s="2"/>
      <c r="B125" s="2"/>
      <c r="C125" s="2"/>
      <c r="D125" s="2"/>
      <c r="E125" s="2"/>
    </row>
    <row r="126" spans="1:35" x14ac:dyDescent="0.25">
      <c r="A126" s="2"/>
      <c r="B126" s="2"/>
      <c r="C126" s="2"/>
      <c r="D126" s="2"/>
      <c r="E126" s="2"/>
    </row>
    <row r="127" spans="1:35" x14ac:dyDescent="0.25">
      <c r="A127" s="2"/>
      <c r="B127" s="2"/>
      <c r="C127" s="2"/>
      <c r="D127" s="2"/>
      <c r="E127" s="2"/>
    </row>
    <row r="128" spans="1:3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  <row r="145" spans="1:5" x14ac:dyDescent="0.25">
      <c r="A145" s="2"/>
      <c r="B145" s="2"/>
      <c r="C145" s="2"/>
      <c r="D145" s="2"/>
      <c r="E145" s="2"/>
    </row>
    <row r="146" spans="1:5" x14ac:dyDescent="0.25">
      <c r="A146" s="2"/>
      <c r="B146" s="2"/>
      <c r="C146" s="2"/>
      <c r="D146" s="2"/>
      <c r="E146" s="2"/>
    </row>
    <row r="147" spans="1:5" x14ac:dyDescent="0.25">
      <c r="A147" s="2"/>
      <c r="B147" s="2"/>
      <c r="C147" s="2"/>
      <c r="D147" s="2"/>
      <c r="E147" s="2"/>
    </row>
    <row r="148" spans="1:5" x14ac:dyDescent="0.25">
      <c r="A148" s="2"/>
      <c r="B148" s="2"/>
      <c r="C148" s="2"/>
      <c r="D148" s="2"/>
      <c r="E148" s="2"/>
    </row>
    <row r="149" spans="1:5" x14ac:dyDescent="0.25">
      <c r="A149" s="2"/>
      <c r="B149" s="2"/>
      <c r="C149" s="2"/>
      <c r="D149" s="2"/>
      <c r="E149" s="2"/>
    </row>
    <row r="150" spans="1:5" x14ac:dyDescent="0.25">
      <c r="A150" s="2"/>
      <c r="B150" s="2"/>
      <c r="C150" s="2"/>
      <c r="D150" s="2"/>
      <c r="E150" s="2"/>
    </row>
    <row r="151" spans="1:5" x14ac:dyDescent="0.25">
      <c r="A151" s="2"/>
      <c r="B151" s="2"/>
      <c r="C151" s="2"/>
      <c r="D151" s="2"/>
      <c r="E151" s="2"/>
    </row>
    <row r="152" spans="1:5" x14ac:dyDescent="0.25">
      <c r="A152" s="2"/>
      <c r="B152" s="2"/>
      <c r="C152" s="2"/>
      <c r="D152" s="2"/>
      <c r="E15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AI144"/>
  <sheetViews>
    <sheetView topLeftCell="D1" zoomScaleNormal="100" zoomScaleSheetLayoutView="50" workbookViewId="0">
      <selection activeCell="R1" sqref="R1"/>
    </sheetView>
  </sheetViews>
  <sheetFormatPr defaultRowHeight="15" x14ac:dyDescent="0.25"/>
  <cols>
    <col min="1" max="1" width="32" customWidth="1"/>
    <col min="2" max="2" width="36.28515625" bestFit="1" customWidth="1"/>
    <col min="3" max="3" width="31.5703125" bestFit="1" customWidth="1"/>
    <col min="4" max="4" width="22.5703125" bestFit="1" customWidth="1"/>
    <col min="5" max="5" width="44" bestFit="1" customWidth="1"/>
  </cols>
  <sheetData>
    <row r="1" spans="1:35" x14ac:dyDescent="0.25">
      <c r="A1" t="s">
        <v>117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79</v>
      </c>
      <c r="N1" t="s">
        <v>80</v>
      </c>
      <c r="O1" t="s">
        <v>81</v>
      </c>
      <c r="P1" t="s">
        <v>82</v>
      </c>
      <c r="Q1" t="s">
        <v>83</v>
      </c>
      <c r="R1" t="s">
        <v>84</v>
      </c>
      <c r="S1" t="s">
        <v>85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99</v>
      </c>
      <c r="AH1" t="s">
        <v>100</v>
      </c>
      <c r="AI1" t="s">
        <v>101</v>
      </c>
    </row>
    <row r="2" spans="1:35" x14ac:dyDescent="0.25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2</v>
      </c>
      <c r="M2">
        <v>3</v>
      </c>
      <c r="N2">
        <v>4</v>
      </c>
      <c r="O2">
        <v>3</v>
      </c>
      <c r="P2">
        <v>2</v>
      </c>
      <c r="Q2">
        <v>5</v>
      </c>
      <c r="R2">
        <v>3</v>
      </c>
      <c r="S2">
        <v>2</v>
      </c>
      <c r="T2">
        <v>3</v>
      </c>
      <c r="U2">
        <v>3</v>
      </c>
      <c r="V2">
        <v>4</v>
      </c>
      <c r="W2">
        <v>2</v>
      </c>
      <c r="X2">
        <v>1</v>
      </c>
      <c r="Y2">
        <v>1</v>
      </c>
      <c r="Z2">
        <v>4</v>
      </c>
      <c r="AA2">
        <v>7</v>
      </c>
      <c r="AB2">
        <v>5</v>
      </c>
      <c r="AC2">
        <v>1</v>
      </c>
      <c r="AD2">
        <v>2</v>
      </c>
      <c r="AE2">
        <v>4</v>
      </c>
      <c r="AF2">
        <v>3</v>
      </c>
      <c r="AG2">
        <v>4</v>
      </c>
      <c r="AH2">
        <v>5</v>
      </c>
      <c r="AI2">
        <v>3</v>
      </c>
    </row>
    <row r="3" spans="1:35" x14ac:dyDescent="0.25">
      <c r="A3" t="s">
        <v>123</v>
      </c>
      <c r="B3" t="s">
        <v>124</v>
      </c>
      <c r="C3" t="s">
        <v>125</v>
      </c>
      <c r="D3" t="s">
        <v>126</v>
      </c>
      <c r="E3" t="s">
        <v>127</v>
      </c>
      <c r="F3">
        <v>3</v>
      </c>
      <c r="G3">
        <v>4</v>
      </c>
      <c r="H3">
        <v>4</v>
      </c>
      <c r="I3">
        <v>4</v>
      </c>
      <c r="J3">
        <v>3</v>
      </c>
      <c r="K3">
        <v>4</v>
      </c>
      <c r="L3">
        <v>5</v>
      </c>
      <c r="M3">
        <v>4</v>
      </c>
      <c r="N3">
        <v>5</v>
      </c>
      <c r="O3">
        <v>4</v>
      </c>
      <c r="P3">
        <v>5</v>
      </c>
      <c r="Q3">
        <v>4</v>
      </c>
      <c r="R3">
        <v>4</v>
      </c>
      <c r="S3">
        <v>3</v>
      </c>
      <c r="T3">
        <v>4</v>
      </c>
      <c r="U3">
        <v>5</v>
      </c>
      <c r="V3">
        <v>5</v>
      </c>
      <c r="W3">
        <v>4</v>
      </c>
      <c r="X3">
        <v>4</v>
      </c>
      <c r="Y3">
        <v>2</v>
      </c>
      <c r="Z3">
        <v>4</v>
      </c>
      <c r="AA3">
        <v>4</v>
      </c>
      <c r="AB3">
        <v>3</v>
      </c>
      <c r="AC3">
        <v>3</v>
      </c>
      <c r="AD3">
        <v>2</v>
      </c>
      <c r="AE3">
        <v>3</v>
      </c>
      <c r="AF3">
        <v>3</v>
      </c>
      <c r="AG3">
        <v>2</v>
      </c>
      <c r="AH3">
        <v>5</v>
      </c>
      <c r="AI3">
        <v>2</v>
      </c>
    </row>
    <row r="4" spans="1:35" x14ac:dyDescent="0.25">
      <c r="A4" t="s">
        <v>128</v>
      </c>
      <c r="B4" t="s">
        <v>129</v>
      </c>
      <c r="C4" t="s">
        <v>130</v>
      </c>
      <c r="D4" t="s">
        <v>131</v>
      </c>
      <c r="E4" t="s">
        <v>132</v>
      </c>
      <c r="F4">
        <v>2</v>
      </c>
      <c r="G4">
        <v>1</v>
      </c>
      <c r="H4">
        <v>1</v>
      </c>
      <c r="I4">
        <v>2</v>
      </c>
      <c r="J4">
        <v>1</v>
      </c>
      <c r="K4">
        <v>3</v>
      </c>
      <c r="L4">
        <v>1</v>
      </c>
      <c r="M4">
        <v>1</v>
      </c>
      <c r="N4">
        <v>1</v>
      </c>
      <c r="O4">
        <v>1</v>
      </c>
      <c r="P4">
        <v>1</v>
      </c>
      <c r="Q4">
        <v>3</v>
      </c>
      <c r="R4">
        <v>2</v>
      </c>
      <c r="S4">
        <v>3</v>
      </c>
      <c r="T4">
        <v>6</v>
      </c>
      <c r="U4">
        <v>4</v>
      </c>
      <c r="V4">
        <v>2</v>
      </c>
      <c r="W4">
        <v>1</v>
      </c>
      <c r="X4">
        <v>4</v>
      </c>
      <c r="Y4">
        <v>4</v>
      </c>
      <c r="Z4">
        <v>4</v>
      </c>
      <c r="AA4">
        <v>1</v>
      </c>
      <c r="AB4">
        <v>1</v>
      </c>
      <c r="AC4">
        <v>4</v>
      </c>
      <c r="AD4">
        <v>1</v>
      </c>
      <c r="AE4">
        <v>4</v>
      </c>
      <c r="AF4">
        <v>1</v>
      </c>
      <c r="AG4">
        <v>1</v>
      </c>
      <c r="AH4">
        <v>2</v>
      </c>
      <c r="AI4">
        <v>1</v>
      </c>
    </row>
    <row r="5" spans="1:35" x14ac:dyDescent="0.25">
      <c r="A5" t="s">
        <v>133</v>
      </c>
      <c r="B5" t="s">
        <v>134</v>
      </c>
      <c r="C5" t="s">
        <v>135</v>
      </c>
      <c r="D5" t="s">
        <v>136</v>
      </c>
      <c r="E5" t="s">
        <v>137</v>
      </c>
      <c r="F5">
        <v>2</v>
      </c>
      <c r="G5">
        <v>1</v>
      </c>
      <c r="H5">
        <v>6</v>
      </c>
      <c r="I5">
        <v>3</v>
      </c>
      <c r="J5">
        <v>2</v>
      </c>
      <c r="K5">
        <v>7</v>
      </c>
      <c r="L5">
        <v>1</v>
      </c>
      <c r="M5">
        <v>1</v>
      </c>
      <c r="N5">
        <v>2</v>
      </c>
      <c r="O5">
        <v>5</v>
      </c>
      <c r="P5">
        <v>1</v>
      </c>
      <c r="Q5">
        <v>7</v>
      </c>
      <c r="R5">
        <v>1</v>
      </c>
      <c r="S5">
        <v>2</v>
      </c>
      <c r="T5">
        <v>6</v>
      </c>
      <c r="U5">
        <v>5</v>
      </c>
      <c r="V5">
        <v>1</v>
      </c>
      <c r="W5">
        <v>6</v>
      </c>
      <c r="X5">
        <v>2</v>
      </c>
      <c r="Y5">
        <v>1</v>
      </c>
      <c r="Z5">
        <v>5</v>
      </c>
      <c r="AA5">
        <v>5</v>
      </c>
      <c r="AB5">
        <v>2</v>
      </c>
      <c r="AC5">
        <v>6</v>
      </c>
      <c r="AD5">
        <v>1</v>
      </c>
      <c r="AE5">
        <v>4</v>
      </c>
      <c r="AF5">
        <v>4</v>
      </c>
      <c r="AG5">
        <v>2</v>
      </c>
      <c r="AH5">
        <v>1</v>
      </c>
      <c r="AI5">
        <v>6</v>
      </c>
    </row>
    <row r="6" spans="1:35" x14ac:dyDescent="0.25">
      <c r="A6" t="s">
        <v>138</v>
      </c>
      <c r="B6" t="s">
        <v>139</v>
      </c>
      <c r="C6" t="s">
        <v>140</v>
      </c>
      <c r="D6" t="s">
        <v>141</v>
      </c>
      <c r="E6" t="s">
        <v>142</v>
      </c>
      <c r="F6">
        <v>4</v>
      </c>
      <c r="G6">
        <v>4</v>
      </c>
      <c r="H6">
        <v>6</v>
      </c>
      <c r="I6">
        <v>4</v>
      </c>
      <c r="J6">
        <v>1</v>
      </c>
      <c r="K6">
        <v>5</v>
      </c>
      <c r="L6">
        <v>1</v>
      </c>
      <c r="M6">
        <v>1</v>
      </c>
      <c r="N6">
        <v>2</v>
      </c>
      <c r="O6">
        <v>4</v>
      </c>
      <c r="P6">
        <v>1</v>
      </c>
      <c r="Q6">
        <v>5</v>
      </c>
      <c r="R6">
        <v>2</v>
      </c>
      <c r="S6">
        <v>2</v>
      </c>
      <c r="T6">
        <v>4</v>
      </c>
      <c r="U6">
        <v>4</v>
      </c>
      <c r="V6">
        <v>1</v>
      </c>
      <c r="W6">
        <v>2</v>
      </c>
      <c r="X6">
        <v>2</v>
      </c>
      <c r="Y6">
        <v>2</v>
      </c>
      <c r="Z6">
        <v>4</v>
      </c>
      <c r="AA6">
        <v>5</v>
      </c>
      <c r="AB6">
        <v>3</v>
      </c>
      <c r="AC6">
        <v>6</v>
      </c>
      <c r="AD6">
        <v>2</v>
      </c>
      <c r="AE6">
        <v>4</v>
      </c>
      <c r="AF6">
        <v>3</v>
      </c>
      <c r="AG6">
        <v>3</v>
      </c>
      <c r="AH6">
        <v>2</v>
      </c>
      <c r="AI6">
        <v>4</v>
      </c>
    </row>
    <row r="7" spans="1:35" x14ac:dyDescent="0.25">
      <c r="A7" t="s">
        <v>143</v>
      </c>
      <c r="B7" t="s">
        <v>144</v>
      </c>
      <c r="C7" t="s">
        <v>145</v>
      </c>
      <c r="D7" t="s">
        <v>146</v>
      </c>
      <c r="E7" t="s">
        <v>147</v>
      </c>
      <c r="F7">
        <v>1</v>
      </c>
      <c r="G7">
        <v>1</v>
      </c>
      <c r="H7">
        <v>1</v>
      </c>
      <c r="I7">
        <v>1</v>
      </c>
      <c r="J7">
        <v>2</v>
      </c>
      <c r="K7">
        <v>2</v>
      </c>
      <c r="L7">
        <v>1</v>
      </c>
      <c r="M7">
        <v>1</v>
      </c>
      <c r="N7">
        <v>1</v>
      </c>
      <c r="O7">
        <v>1</v>
      </c>
      <c r="P7">
        <v>1</v>
      </c>
      <c r="Q7">
        <v>4</v>
      </c>
      <c r="R7">
        <v>1</v>
      </c>
      <c r="S7">
        <v>1</v>
      </c>
      <c r="T7">
        <v>1</v>
      </c>
      <c r="U7">
        <v>1</v>
      </c>
      <c r="V7">
        <v>4</v>
      </c>
      <c r="W7">
        <v>4</v>
      </c>
      <c r="X7">
        <v>1</v>
      </c>
      <c r="Y7">
        <v>3</v>
      </c>
      <c r="Z7">
        <v>2</v>
      </c>
      <c r="AA7">
        <v>1</v>
      </c>
      <c r="AB7">
        <v>7</v>
      </c>
      <c r="AC7">
        <v>3</v>
      </c>
      <c r="AD7">
        <v>1</v>
      </c>
      <c r="AE7">
        <v>2</v>
      </c>
      <c r="AF7">
        <v>1</v>
      </c>
      <c r="AG7">
        <v>1</v>
      </c>
      <c r="AH7">
        <v>7</v>
      </c>
      <c r="AI7">
        <v>1</v>
      </c>
    </row>
    <row r="8" spans="1:35" x14ac:dyDescent="0.25">
      <c r="A8" t="s">
        <v>148</v>
      </c>
      <c r="B8" t="s">
        <v>149</v>
      </c>
      <c r="C8" t="s">
        <v>150</v>
      </c>
      <c r="D8" t="s">
        <v>151</v>
      </c>
      <c r="E8" t="s">
        <v>152</v>
      </c>
      <c r="F8">
        <v>1</v>
      </c>
      <c r="G8">
        <v>3</v>
      </c>
      <c r="H8">
        <v>2</v>
      </c>
      <c r="I8">
        <v>2</v>
      </c>
      <c r="J8">
        <v>2</v>
      </c>
      <c r="K8">
        <v>3</v>
      </c>
      <c r="L8">
        <v>2</v>
      </c>
      <c r="M8">
        <v>2</v>
      </c>
      <c r="N8">
        <v>2</v>
      </c>
      <c r="O8">
        <v>2</v>
      </c>
      <c r="P8">
        <v>3</v>
      </c>
      <c r="Q8">
        <v>5</v>
      </c>
      <c r="R8">
        <v>5</v>
      </c>
      <c r="S8">
        <v>3</v>
      </c>
      <c r="T8">
        <v>2</v>
      </c>
      <c r="U8">
        <v>4</v>
      </c>
      <c r="V8">
        <v>2</v>
      </c>
      <c r="W8">
        <v>4</v>
      </c>
      <c r="X8">
        <v>2</v>
      </c>
      <c r="Y8">
        <v>4</v>
      </c>
      <c r="Z8">
        <v>4</v>
      </c>
      <c r="AA8">
        <v>4</v>
      </c>
      <c r="AB8">
        <v>3</v>
      </c>
      <c r="AC8">
        <v>4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</row>
    <row r="9" spans="1:35" x14ac:dyDescent="0.25">
      <c r="A9" t="s">
        <v>153</v>
      </c>
      <c r="B9" t="s">
        <v>154</v>
      </c>
      <c r="C9" t="s">
        <v>155</v>
      </c>
      <c r="D9" t="s">
        <v>156</v>
      </c>
      <c r="E9" t="s">
        <v>127</v>
      </c>
      <c r="F9">
        <v>1</v>
      </c>
      <c r="G9">
        <v>4</v>
      </c>
      <c r="H9">
        <v>6</v>
      </c>
      <c r="I9">
        <v>1</v>
      </c>
      <c r="J9">
        <v>1</v>
      </c>
      <c r="K9">
        <v>6</v>
      </c>
      <c r="L9">
        <v>4</v>
      </c>
      <c r="M9">
        <v>7</v>
      </c>
      <c r="N9">
        <v>5</v>
      </c>
      <c r="O9">
        <v>5</v>
      </c>
      <c r="P9">
        <v>1</v>
      </c>
      <c r="Q9">
        <v>7</v>
      </c>
      <c r="R9">
        <v>4</v>
      </c>
      <c r="S9">
        <v>1</v>
      </c>
      <c r="T9">
        <v>6</v>
      </c>
      <c r="U9">
        <v>7</v>
      </c>
      <c r="V9">
        <v>1</v>
      </c>
      <c r="W9">
        <v>4</v>
      </c>
      <c r="X9">
        <v>1</v>
      </c>
      <c r="Y9">
        <v>6</v>
      </c>
      <c r="Z9">
        <v>7</v>
      </c>
      <c r="AA9">
        <v>4</v>
      </c>
      <c r="AB9">
        <v>1</v>
      </c>
      <c r="AC9">
        <v>7</v>
      </c>
      <c r="AD9">
        <v>1</v>
      </c>
      <c r="AE9">
        <v>5</v>
      </c>
      <c r="AF9">
        <v>7</v>
      </c>
      <c r="AG9">
        <v>1</v>
      </c>
      <c r="AH9">
        <v>1</v>
      </c>
      <c r="AI9">
        <v>7</v>
      </c>
    </row>
    <row r="10" spans="1:35" x14ac:dyDescent="0.25">
      <c r="A10" t="s">
        <v>157</v>
      </c>
      <c r="B10" t="s">
        <v>158</v>
      </c>
      <c r="C10" t="s">
        <v>159</v>
      </c>
      <c r="D10" t="s">
        <v>160</v>
      </c>
      <c r="E10" t="s">
        <v>161</v>
      </c>
      <c r="F10">
        <v>4</v>
      </c>
      <c r="G10">
        <v>3</v>
      </c>
      <c r="H10">
        <v>2</v>
      </c>
      <c r="I10">
        <v>2</v>
      </c>
      <c r="J10">
        <v>2</v>
      </c>
      <c r="K10">
        <v>4</v>
      </c>
      <c r="L10">
        <v>2</v>
      </c>
      <c r="M10">
        <v>2</v>
      </c>
      <c r="N10">
        <v>2</v>
      </c>
      <c r="O10">
        <v>3</v>
      </c>
      <c r="P10">
        <v>3</v>
      </c>
      <c r="Q10">
        <v>4</v>
      </c>
      <c r="R10">
        <v>2</v>
      </c>
      <c r="S10">
        <v>2</v>
      </c>
      <c r="T10">
        <v>3</v>
      </c>
      <c r="U10">
        <v>3</v>
      </c>
      <c r="V10">
        <v>2</v>
      </c>
      <c r="W10">
        <v>4</v>
      </c>
      <c r="X10">
        <v>3</v>
      </c>
      <c r="Y10">
        <v>4</v>
      </c>
      <c r="Z10">
        <v>4</v>
      </c>
      <c r="AA10">
        <v>4</v>
      </c>
      <c r="AB10">
        <v>2</v>
      </c>
      <c r="AC10">
        <v>4</v>
      </c>
      <c r="AD10">
        <v>3</v>
      </c>
      <c r="AE10">
        <v>4</v>
      </c>
      <c r="AF10">
        <v>2</v>
      </c>
      <c r="AG10">
        <v>2</v>
      </c>
      <c r="AH10">
        <v>3</v>
      </c>
      <c r="AI10">
        <v>4</v>
      </c>
    </row>
    <row r="11" spans="1:35" x14ac:dyDescent="0.25">
      <c r="A11" t="s">
        <v>162</v>
      </c>
      <c r="B11" t="s">
        <v>163</v>
      </c>
      <c r="C11" t="s">
        <v>164</v>
      </c>
      <c r="D11" t="s">
        <v>165</v>
      </c>
      <c r="E11" t="s">
        <v>137</v>
      </c>
      <c r="F11">
        <v>2</v>
      </c>
      <c r="G11">
        <v>3</v>
      </c>
      <c r="H11">
        <v>3</v>
      </c>
      <c r="I11">
        <v>1</v>
      </c>
      <c r="J11">
        <v>4</v>
      </c>
      <c r="K11">
        <v>2</v>
      </c>
      <c r="L11">
        <v>3</v>
      </c>
      <c r="M11">
        <v>1</v>
      </c>
      <c r="N11">
        <v>4</v>
      </c>
      <c r="O11">
        <v>2</v>
      </c>
      <c r="P11">
        <v>1</v>
      </c>
      <c r="Q11">
        <v>1</v>
      </c>
      <c r="R11">
        <v>3</v>
      </c>
      <c r="S11">
        <v>1</v>
      </c>
      <c r="T11">
        <v>2</v>
      </c>
      <c r="U11">
        <v>2</v>
      </c>
      <c r="V11">
        <v>4</v>
      </c>
      <c r="W11">
        <v>2</v>
      </c>
      <c r="X11">
        <v>4</v>
      </c>
      <c r="Y11">
        <v>3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4</v>
      </c>
      <c r="AF11">
        <v>2</v>
      </c>
      <c r="AG11">
        <v>5</v>
      </c>
      <c r="AH11">
        <v>4</v>
      </c>
      <c r="AI11">
        <v>3</v>
      </c>
    </row>
    <row r="12" spans="1:35" x14ac:dyDescent="0.25">
      <c r="A12" t="s">
        <v>166</v>
      </c>
      <c r="B12" t="s">
        <v>167</v>
      </c>
      <c r="C12" t="s">
        <v>168</v>
      </c>
      <c r="D12" t="s">
        <v>169</v>
      </c>
      <c r="E12" t="s">
        <v>170</v>
      </c>
      <c r="F12">
        <v>2</v>
      </c>
      <c r="G12">
        <v>1</v>
      </c>
      <c r="H12">
        <v>2</v>
      </c>
      <c r="I12">
        <v>2</v>
      </c>
      <c r="J12">
        <v>7</v>
      </c>
      <c r="K12">
        <v>2</v>
      </c>
      <c r="L12">
        <v>1</v>
      </c>
      <c r="M12">
        <v>2</v>
      </c>
      <c r="N12">
        <v>2</v>
      </c>
      <c r="O12">
        <v>2</v>
      </c>
      <c r="P12">
        <v>7</v>
      </c>
      <c r="Q12">
        <v>2</v>
      </c>
      <c r="R12">
        <v>2</v>
      </c>
      <c r="S12">
        <v>2</v>
      </c>
      <c r="T12">
        <v>2</v>
      </c>
      <c r="U12">
        <v>5</v>
      </c>
      <c r="V12">
        <v>5</v>
      </c>
      <c r="W12">
        <v>2</v>
      </c>
      <c r="X12">
        <v>1</v>
      </c>
      <c r="Y12">
        <v>2</v>
      </c>
      <c r="Z12">
        <v>2</v>
      </c>
      <c r="AA12">
        <v>2</v>
      </c>
      <c r="AB12">
        <v>7</v>
      </c>
      <c r="AC12">
        <v>2</v>
      </c>
      <c r="AD12">
        <v>1</v>
      </c>
      <c r="AE12">
        <v>2</v>
      </c>
      <c r="AF12">
        <v>4</v>
      </c>
      <c r="AG12">
        <v>2</v>
      </c>
      <c r="AH12">
        <v>6</v>
      </c>
      <c r="AI12">
        <v>2</v>
      </c>
    </row>
    <row r="13" spans="1:35" x14ac:dyDescent="0.25">
      <c r="A13" t="s">
        <v>171</v>
      </c>
      <c r="B13" t="s">
        <v>172</v>
      </c>
      <c r="C13" t="s">
        <v>173</v>
      </c>
      <c r="D13" t="s">
        <v>174</v>
      </c>
      <c r="E13" t="s">
        <v>137</v>
      </c>
      <c r="F13">
        <v>2</v>
      </c>
      <c r="G13">
        <v>1</v>
      </c>
      <c r="H13">
        <v>4</v>
      </c>
      <c r="I13">
        <v>3</v>
      </c>
      <c r="J13">
        <v>3</v>
      </c>
      <c r="K13">
        <v>5</v>
      </c>
      <c r="L13">
        <v>1</v>
      </c>
      <c r="M13">
        <v>1</v>
      </c>
      <c r="N13">
        <v>2</v>
      </c>
      <c r="O13">
        <v>4</v>
      </c>
      <c r="P13">
        <v>1</v>
      </c>
      <c r="Q13">
        <v>4</v>
      </c>
      <c r="R13">
        <v>1</v>
      </c>
      <c r="S13">
        <v>1</v>
      </c>
      <c r="T13">
        <v>2</v>
      </c>
      <c r="U13">
        <v>2</v>
      </c>
      <c r="V13">
        <v>1</v>
      </c>
      <c r="W13">
        <v>4</v>
      </c>
      <c r="X13">
        <v>1</v>
      </c>
      <c r="Y13">
        <v>1</v>
      </c>
      <c r="Z13">
        <v>2</v>
      </c>
      <c r="AA13">
        <v>7</v>
      </c>
      <c r="AB13">
        <v>1</v>
      </c>
      <c r="AC13">
        <v>1</v>
      </c>
      <c r="AD13">
        <v>1</v>
      </c>
      <c r="AE13">
        <v>2</v>
      </c>
      <c r="AF13">
        <v>4</v>
      </c>
      <c r="AG13">
        <v>3</v>
      </c>
      <c r="AH13">
        <v>2</v>
      </c>
      <c r="AI13">
        <v>2</v>
      </c>
    </row>
    <row r="14" spans="1:35" x14ac:dyDescent="0.25">
      <c r="A14" t="s">
        <v>175</v>
      </c>
      <c r="B14" t="s">
        <v>176</v>
      </c>
      <c r="C14" t="s">
        <v>177</v>
      </c>
      <c r="D14" t="s">
        <v>178</v>
      </c>
      <c r="E14" t="s">
        <v>179</v>
      </c>
      <c r="F14">
        <v>1</v>
      </c>
      <c r="G14">
        <v>1</v>
      </c>
      <c r="H14">
        <v>1</v>
      </c>
      <c r="I14">
        <v>1</v>
      </c>
      <c r="J14">
        <v>4</v>
      </c>
      <c r="K14">
        <v>3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4</v>
      </c>
      <c r="Z14">
        <v>2</v>
      </c>
      <c r="AA14">
        <v>4</v>
      </c>
      <c r="AB14">
        <v>5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4</v>
      </c>
      <c r="AI14">
        <v>1</v>
      </c>
    </row>
    <row r="15" spans="1:35" x14ac:dyDescent="0.25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>
        <v>3</v>
      </c>
      <c r="G15">
        <v>3</v>
      </c>
      <c r="H15">
        <v>1</v>
      </c>
      <c r="I15">
        <v>4</v>
      </c>
      <c r="J15">
        <v>4</v>
      </c>
      <c r="K15">
        <v>2</v>
      </c>
      <c r="L15">
        <v>4</v>
      </c>
      <c r="M15">
        <v>2</v>
      </c>
      <c r="N15">
        <v>2</v>
      </c>
      <c r="O15">
        <v>4</v>
      </c>
      <c r="P15">
        <v>3</v>
      </c>
      <c r="Q15">
        <v>4</v>
      </c>
      <c r="R15">
        <v>1</v>
      </c>
      <c r="S15">
        <v>2</v>
      </c>
      <c r="T15">
        <v>2</v>
      </c>
      <c r="U15">
        <v>3</v>
      </c>
      <c r="V15">
        <v>4</v>
      </c>
      <c r="W15">
        <v>1</v>
      </c>
      <c r="X15">
        <v>2</v>
      </c>
      <c r="Y15">
        <v>2</v>
      </c>
      <c r="Z15">
        <v>3</v>
      </c>
      <c r="AA15">
        <v>3</v>
      </c>
      <c r="AB15">
        <v>4</v>
      </c>
      <c r="AC15">
        <v>2</v>
      </c>
      <c r="AD15">
        <v>2</v>
      </c>
      <c r="AE15">
        <v>3</v>
      </c>
      <c r="AF15">
        <v>2</v>
      </c>
      <c r="AG15">
        <v>3</v>
      </c>
      <c r="AH15">
        <v>4</v>
      </c>
      <c r="AI15">
        <v>2</v>
      </c>
    </row>
    <row r="16" spans="1:35" x14ac:dyDescent="0.25">
      <c r="A16" t="s">
        <v>185</v>
      </c>
      <c r="B16" t="s">
        <v>186</v>
      </c>
      <c r="C16" t="s">
        <v>187</v>
      </c>
      <c r="D16" t="s">
        <v>174</v>
      </c>
      <c r="E16" t="s">
        <v>137</v>
      </c>
      <c r="F16">
        <v>4</v>
      </c>
      <c r="G16">
        <v>4</v>
      </c>
      <c r="H16">
        <v>5</v>
      </c>
      <c r="I16">
        <v>4</v>
      </c>
      <c r="J16">
        <v>4</v>
      </c>
      <c r="K16">
        <v>7</v>
      </c>
      <c r="L16">
        <v>6</v>
      </c>
      <c r="M16">
        <v>1</v>
      </c>
      <c r="N16">
        <v>2</v>
      </c>
      <c r="O16">
        <v>2</v>
      </c>
      <c r="P16">
        <v>7</v>
      </c>
      <c r="Q16">
        <v>7</v>
      </c>
      <c r="R16">
        <v>1</v>
      </c>
      <c r="S16">
        <v>1</v>
      </c>
      <c r="T16">
        <v>7</v>
      </c>
      <c r="U16">
        <v>2</v>
      </c>
      <c r="V16">
        <v>4</v>
      </c>
      <c r="W16">
        <v>7</v>
      </c>
      <c r="X16">
        <v>1</v>
      </c>
      <c r="Y16">
        <v>1</v>
      </c>
      <c r="Z16">
        <v>6</v>
      </c>
      <c r="AA16">
        <v>4</v>
      </c>
      <c r="AB16">
        <v>7</v>
      </c>
      <c r="AC16">
        <v>6</v>
      </c>
      <c r="AD16">
        <v>2</v>
      </c>
      <c r="AE16">
        <v>4</v>
      </c>
      <c r="AF16">
        <v>7</v>
      </c>
      <c r="AG16">
        <v>1</v>
      </c>
      <c r="AH16">
        <v>5</v>
      </c>
      <c r="AI16">
        <v>5</v>
      </c>
    </row>
    <row r="17" spans="1:35" x14ac:dyDescent="0.25">
      <c r="A17" t="s">
        <v>190</v>
      </c>
      <c r="B17" t="s">
        <v>191</v>
      </c>
      <c r="C17" t="s">
        <v>192</v>
      </c>
      <c r="D17" t="s">
        <v>193</v>
      </c>
      <c r="E17" t="s">
        <v>194</v>
      </c>
      <c r="F17">
        <v>2</v>
      </c>
      <c r="G17">
        <v>1</v>
      </c>
      <c r="H17">
        <v>3</v>
      </c>
      <c r="I17">
        <v>1</v>
      </c>
      <c r="J17">
        <v>1</v>
      </c>
      <c r="K17">
        <v>5</v>
      </c>
      <c r="L17">
        <v>1</v>
      </c>
      <c r="M17">
        <v>2</v>
      </c>
      <c r="N17">
        <v>1</v>
      </c>
      <c r="O17">
        <v>3</v>
      </c>
      <c r="P17">
        <v>1</v>
      </c>
      <c r="Q17">
        <v>4</v>
      </c>
      <c r="R17">
        <v>2</v>
      </c>
      <c r="S17">
        <v>1</v>
      </c>
      <c r="T17">
        <v>4</v>
      </c>
      <c r="U17">
        <v>1</v>
      </c>
      <c r="V17">
        <v>1</v>
      </c>
      <c r="W17">
        <v>4</v>
      </c>
      <c r="X17">
        <v>3</v>
      </c>
      <c r="Y17">
        <v>1</v>
      </c>
      <c r="Z17">
        <v>2</v>
      </c>
      <c r="AA17">
        <v>4</v>
      </c>
      <c r="AB17">
        <v>1</v>
      </c>
      <c r="AC17">
        <v>3</v>
      </c>
      <c r="AD17">
        <v>1</v>
      </c>
      <c r="AE17">
        <v>6</v>
      </c>
      <c r="AF17">
        <v>1</v>
      </c>
      <c r="AG17">
        <v>3</v>
      </c>
      <c r="AH17">
        <v>1</v>
      </c>
      <c r="AI17">
        <v>3</v>
      </c>
    </row>
    <row r="18" spans="1:35" x14ac:dyDescent="0.25">
      <c r="A18" t="s">
        <v>195</v>
      </c>
      <c r="B18" t="s">
        <v>196</v>
      </c>
      <c r="C18" t="s">
        <v>197</v>
      </c>
      <c r="D18" t="s">
        <v>198</v>
      </c>
      <c r="E18" t="s">
        <v>137</v>
      </c>
      <c r="F18">
        <v>4</v>
      </c>
      <c r="G18">
        <v>1</v>
      </c>
      <c r="H18">
        <v>2</v>
      </c>
      <c r="I18">
        <v>1</v>
      </c>
      <c r="J18">
        <v>3</v>
      </c>
      <c r="K18">
        <v>5</v>
      </c>
      <c r="L18">
        <v>2</v>
      </c>
      <c r="M18">
        <v>1</v>
      </c>
      <c r="N18">
        <v>1</v>
      </c>
      <c r="O18">
        <v>1</v>
      </c>
      <c r="P18">
        <v>1</v>
      </c>
      <c r="Q18">
        <v>5</v>
      </c>
      <c r="R18">
        <v>1</v>
      </c>
      <c r="S18">
        <v>1</v>
      </c>
      <c r="T18">
        <v>3</v>
      </c>
      <c r="U18">
        <v>1</v>
      </c>
      <c r="V18">
        <v>1</v>
      </c>
      <c r="W18">
        <v>6</v>
      </c>
      <c r="X18">
        <v>1</v>
      </c>
      <c r="Y18">
        <v>5</v>
      </c>
      <c r="Z18">
        <v>4</v>
      </c>
      <c r="AA18">
        <v>4</v>
      </c>
      <c r="AB18">
        <v>3</v>
      </c>
      <c r="AC18">
        <v>2</v>
      </c>
      <c r="AD18">
        <v>1</v>
      </c>
      <c r="AE18">
        <v>3</v>
      </c>
      <c r="AF18">
        <v>2</v>
      </c>
      <c r="AG18">
        <v>1</v>
      </c>
      <c r="AH18">
        <v>4</v>
      </c>
      <c r="AI18">
        <v>2</v>
      </c>
    </row>
    <row r="19" spans="1:35" x14ac:dyDescent="0.25">
      <c r="A19" t="s">
        <v>199</v>
      </c>
      <c r="B19" t="s">
        <v>200</v>
      </c>
      <c r="C19" t="s">
        <v>201</v>
      </c>
      <c r="D19" t="s">
        <v>202</v>
      </c>
      <c r="E19" t="s">
        <v>203</v>
      </c>
      <c r="F19">
        <v>2</v>
      </c>
      <c r="G19">
        <v>3</v>
      </c>
      <c r="H19">
        <v>1</v>
      </c>
      <c r="I19">
        <v>1</v>
      </c>
      <c r="J19">
        <v>1</v>
      </c>
      <c r="K19">
        <v>4</v>
      </c>
      <c r="L19">
        <v>1</v>
      </c>
      <c r="M19">
        <v>3</v>
      </c>
      <c r="N19">
        <v>1</v>
      </c>
      <c r="O19">
        <v>3</v>
      </c>
      <c r="P19">
        <v>1</v>
      </c>
      <c r="Q19">
        <v>1</v>
      </c>
      <c r="R19">
        <v>1</v>
      </c>
      <c r="S19">
        <v>1</v>
      </c>
      <c r="T19">
        <v>2</v>
      </c>
      <c r="U19">
        <v>1</v>
      </c>
      <c r="V19">
        <v>1</v>
      </c>
      <c r="W19">
        <v>1</v>
      </c>
      <c r="X19">
        <v>2</v>
      </c>
      <c r="Y19">
        <v>1</v>
      </c>
      <c r="Z19">
        <v>1</v>
      </c>
      <c r="AA19">
        <v>2</v>
      </c>
      <c r="AB19">
        <v>2</v>
      </c>
      <c r="AC19">
        <v>2</v>
      </c>
      <c r="AD19">
        <v>2</v>
      </c>
      <c r="AE19">
        <v>1</v>
      </c>
      <c r="AF19">
        <v>3</v>
      </c>
      <c r="AG19">
        <v>2</v>
      </c>
      <c r="AH19">
        <v>5</v>
      </c>
      <c r="AI19">
        <v>2</v>
      </c>
    </row>
    <row r="20" spans="1:35" x14ac:dyDescent="0.25">
      <c r="A20" t="s">
        <v>204</v>
      </c>
      <c r="B20" t="s">
        <v>205</v>
      </c>
      <c r="C20" t="s">
        <v>206</v>
      </c>
      <c r="D20" t="s">
        <v>207</v>
      </c>
      <c r="E20" t="s">
        <v>137</v>
      </c>
      <c r="F20">
        <v>4</v>
      </c>
      <c r="G20">
        <v>1</v>
      </c>
      <c r="H20">
        <v>5</v>
      </c>
      <c r="I20">
        <v>3</v>
      </c>
      <c r="J20">
        <v>2</v>
      </c>
      <c r="K20">
        <v>5</v>
      </c>
      <c r="L20">
        <v>1</v>
      </c>
      <c r="M20">
        <v>2</v>
      </c>
      <c r="N20">
        <v>1</v>
      </c>
      <c r="O20">
        <v>2</v>
      </c>
      <c r="P20">
        <v>2</v>
      </c>
      <c r="Q20">
        <v>4</v>
      </c>
      <c r="R20">
        <v>1</v>
      </c>
      <c r="S20">
        <v>1</v>
      </c>
      <c r="T20">
        <v>5</v>
      </c>
      <c r="U20">
        <v>3</v>
      </c>
      <c r="V20">
        <v>1</v>
      </c>
      <c r="W20">
        <v>1</v>
      </c>
      <c r="X20">
        <v>2</v>
      </c>
      <c r="Y20">
        <v>3</v>
      </c>
      <c r="Z20">
        <v>2</v>
      </c>
      <c r="AA20">
        <v>5</v>
      </c>
      <c r="AB20">
        <v>3</v>
      </c>
      <c r="AC20">
        <v>3</v>
      </c>
      <c r="AD20">
        <v>1</v>
      </c>
      <c r="AE20">
        <v>2</v>
      </c>
      <c r="AF20">
        <v>3</v>
      </c>
      <c r="AG20">
        <v>1</v>
      </c>
      <c r="AH20">
        <v>2</v>
      </c>
      <c r="AI20">
        <v>2</v>
      </c>
    </row>
    <row r="21" spans="1:35" x14ac:dyDescent="0.25">
      <c r="A21" t="s">
        <v>208</v>
      </c>
      <c r="B21" t="s">
        <v>209</v>
      </c>
      <c r="C21" t="s">
        <v>210</v>
      </c>
      <c r="D21" t="s">
        <v>211</v>
      </c>
      <c r="E21" t="s">
        <v>212</v>
      </c>
      <c r="F21">
        <v>1</v>
      </c>
      <c r="G21">
        <v>1</v>
      </c>
      <c r="H21">
        <v>1</v>
      </c>
      <c r="I21">
        <v>1</v>
      </c>
      <c r="J21">
        <v>1</v>
      </c>
      <c r="K21">
        <v>4</v>
      </c>
      <c r="L21">
        <v>2</v>
      </c>
      <c r="M21">
        <v>1</v>
      </c>
      <c r="N21">
        <v>1</v>
      </c>
      <c r="O21">
        <v>2</v>
      </c>
      <c r="P21">
        <v>1</v>
      </c>
      <c r="Q21">
        <v>5</v>
      </c>
      <c r="R21">
        <v>1</v>
      </c>
      <c r="S21">
        <v>2</v>
      </c>
      <c r="T21">
        <v>2</v>
      </c>
      <c r="U21">
        <v>4</v>
      </c>
      <c r="V21">
        <v>2</v>
      </c>
      <c r="W21">
        <v>2</v>
      </c>
      <c r="X21">
        <v>2</v>
      </c>
      <c r="Y21">
        <v>2</v>
      </c>
      <c r="Z21">
        <v>4</v>
      </c>
      <c r="AA21">
        <v>4</v>
      </c>
      <c r="AB21">
        <v>2</v>
      </c>
      <c r="AC21">
        <v>3</v>
      </c>
      <c r="AD21">
        <v>1</v>
      </c>
      <c r="AE21">
        <v>2</v>
      </c>
      <c r="AF21">
        <v>2</v>
      </c>
      <c r="AG21">
        <v>2</v>
      </c>
      <c r="AH21">
        <v>4</v>
      </c>
      <c r="AI21">
        <v>2</v>
      </c>
    </row>
    <row r="22" spans="1:35" x14ac:dyDescent="0.25">
      <c r="A22" t="s">
        <v>213</v>
      </c>
      <c r="B22" t="s">
        <v>214</v>
      </c>
      <c r="C22" t="s">
        <v>215</v>
      </c>
      <c r="D22" t="s">
        <v>216</v>
      </c>
      <c r="E22" t="s">
        <v>137</v>
      </c>
      <c r="F22">
        <v>1</v>
      </c>
      <c r="G22">
        <v>3</v>
      </c>
      <c r="H22">
        <v>2</v>
      </c>
      <c r="I22">
        <v>3</v>
      </c>
      <c r="J22">
        <v>2</v>
      </c>
      <c r="K22">
        <v>1</v>
      </c>
      <c r="L22">
        <v>1</v>
      </c>
      <c r="M22">
        <v>1</v>
      </c>
      <c r="N22">
        <v>1</v>
      </c>
      <c r="O22">
        <v>3</v>
      </c>
      <c r="P22">
        <v>2</v>
      </c>
      <c r="Q22">
        <v>2</v>
      </c>
      <c r="R22">
        <v>2</v>
      </c>
      <c r="S22">
        <v>1</v>
      </c>
      <c r="T22">
        <v>7</v>
      </c>
      <c r="U22">
        <v>5</v>
      </c>
      <c r="V22">
        <v>3</v>
      </c>
      <c r="W22">
        <v>1</v>
      </c>
      <c r="X22">
        <v>1</v>
      </c>
      <c r="Y22">
        <v>1</v>
      </c>
      <c r="Z22">
        <v>4</v>
      </c>
      <c r="AA22">
        <v>5</v>
      </c>
      <c r="AB22">
        <v>1</v>
      </c>
      <c r="AC22">
        <v>5</v>
      </c>
      <c r="AD22">
        <v>1</v>
      </c>
      <c r="AE22">
        <v>1</v>
      </c>
      <c r="AF22">
        <v>4</v>
      </c>
      <c r="AG22">
        <v>1</v>
      </c>
      <c r="AH22">
        <v>1</v>
      </c>
      <c r="AI22">
        <v>1</v>
      </c>
    </row>
    <row r="23" spans="1:35" x14ac:dyDescent="0.25">
      <c r="A23" t="s">
        <v>217</v>
      </c>
      <c r="B23" t="s">
        <v>218</v>
      </c>
      <c r="C23" t="s">
        <v>219</v>
      </c>
      <c r="D23" t="s">
        <v>174</v>
      </c>
      <c r="E23" t="s">
        <v>137</v>
      </c>
      <c r="F23">
        <v>2</v>
      </c>
      <c r="G23">
        <v>2</v>
      </c>
      <c r="H23">
        <v>4</v>
      </c>
      <c r="I23">
        <v>3</v>
      </c>
      <c r="J23">
        <v>5</v>
      </c>
      <c r="K23">
        <v>5</v>
      </c>
      <c r="L23">
        <v>2</v>
      </c>
      <c r="M23">
        <v>2</v>
      </c>
      <c r="N23">
        <v>2</v>
      </c>
      <c r="O23">
        <v>2</v>
      </c>
      <c r="P23">
        <v>2</v>
      </c>
      <c r="Q23">
        <v>4</v>
      </c>
      <c r="R23">
        <v>1</v>
      </c>
      <c r="S23">
        <v>1</v>
      </c>
      <c r="T23">
        <v>2</v>
      </c>
      <c r="U23">
        <v>3</v>
      </c>
      <c r="V23">
        <v>4</v>
      </c>
      <c r="W23">
        <v>2</v>
      </c>
      <c r="X23">
        <v>1</v>
      </c>
      <c r="Y23">
        <v>2</v>
      </c>
      <c r="Z23">
        <v>2</v>
      </c>
      <c r="AA23">
        <v>4</v>
      </c>
      <c r="AB23">
        <v>3</v>
      </c>
      <c r="AC23">
        <v>5</v>
      </c>
      <c r="AD23">
        <v>1</v>
      </c>
      <c r="AE23">
        <v>2</v>
      </c>
      <c r="AF23">
        <v>6</v>
      </c>
      <c r="AG23">
        <v>2</v>
      </c>
      <c r="AH23">
        <v>3</v>
      </c>
      <c r="AI23">
        <v>3</v>
      </c>
    </row>
    <row r="24" spans="1:35" x14ac:dyDescent="0.25">
      <c r="A24" t="s">
        <v>220</v>
      </c>
      <c r="B24" t="s">
        <v>221</v>
      </c>
      <c r="C24" t="s">
        <v>222</v>
      </c>
      <c r="D24" t="s">
        <v>122</v>
      </c>
      <c r="E24" t="s">
        <v>122</v>
      </c>
      <c r="F24">
        <v>4</v>
      </c>
      <c r="G24">
        <v>3</v>
      </c>
      <c r="H24">
        <v>2</v>
      </c>
      <c r="I24">
        <v>2</v>
      </c>
      <c r="J24">
        <v>6</v>
      </c>
      <c r="K24">
        <v>4</v>
      </c>
      <c r="L24">
        <v>2</v>
      </c>
      <c r="M24">
        <v>2</v>
      </c>
      <c r="N24">
        <v>6</v>
      </c>
      <c r="O24">
        <v>2</v>
      </c>
      <c r="P24">
        <v>5</v>
      </c>
      <c r="Q24">
        <v>2</v>
      </c>
      <c r="R24">
        <v>3</v>
      </c>
      <c r="S24">
        <v>2</v>
      </c>
      <c r="T24">
        <v>4</v>
      </c>
      <c r="U24">
        <v>4</v>
      </c>
      <c r="V24">
        <v>4</v>
      </c>
      <c r="W24">
        <v>1</v>
      </c>
      <c r="X24">
        <v>4</v>
      </c>
      <c r="Y24">
        <v>6</v>
      </c>
      <c r="Z24">
        <v>3</v>
      </c>
      <c r="AA24">
        <v>4</v>
      </c>
      <c r="AB24">
        <v>4</v>
      </c>
      <c r="AC24">
        <v>7</v>
      </c>
      <c r="AD24">
        <v>4</v>
      </c>
      <c r="AE24">
        <v>5</v>
      </c>
      <c r="AF24">
        <v>3</v>
      </c>
      <c r="AG24">
        <v>3</v>
      </c>
      <c r="AH24">
        <v>6</v>
      </c>
      <c r="AI24">
        <v>2</v>
      </c>
    </row>
    <row r="25" spans="1:35" x14ac:dyDescent="0.25">
      <c r="A25" t="s">
        <v>223</v>
      </c>
      <c r="B25" t="s">
        <v>224</v>
      </c>
      <c r="C25" t="s">
        <v>225</v>
      </c>
      <c r="D25" t="s">
        <v>226</v>
      </c>
      <c r="E25" t="s">
        <v>137</v>
      </c>
      <c r="F25">
        <v>1</v>
      </c>
      <c r="G25">
        <v>1</v>
      </c>
      <c r="H25">
        <v>4</v>
      </c>
      <c r="I25">
        <v>1</v>
      </c>
      <c r="J25">
        <v>1</v>
      </c>
      <c r="K25">
        <v>1</v>
      </c>
      <c r="L25">
        <v>1</v>
      </c>
      <c r="M25">
        <v>1</v>
      </c>
      <c r="N25">
        <v>2</v>
      </c>
      <c r="O25">
        <v>1</v>
      </c>
      <c r="P25">
        <v>2</v>
      </c>
      <c r="Q25">
        <v>2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2</v>
      </c>
      <c r="Z25">
        <v>2</v>
      </c>
      <c r="AA25">
        <v>4</v>
      </c>
      <c r="AB25">
        <v>2</v>
      </c>
      <c r="AC25">
        <v>3</v>
      </c>
      <c r="AD25">
        <v>3</v>
      </c>
      <c r="AE25">
        <v>3</v>
      </c>
      <c r="AF25">
        <v>4</v>
      </c>
      <c r="AG25">
        <v>1</v>
      </c>
      <c r="AH25">
        <v>2</v>
      </c>
      <c r="AI25">
        <v>1</v>
      </c>
    </row>
    <row r="26" spans="1:35" x14ac:dyDescent="0.25">
      <c r="A26" t="s">
        <v>227</v>
      </c>
      <c r="B26" t="s">
        <v>228</v>
      </c>
      <c r="C26" t="s">
        <v>229</v>
      </c>
      <c r="D26" t="s">
        <v>230</v>
      </c>
      <c r="E26" t="s">
        <v>231</v>
      </c>
      <c r="F26">
        <v>1</v>
      </c>
      <c r="G26">
        <v>3</v>
      </c>
      <c r="H26">
        <v>2</v>
      </c>
      <c r="I26">
        <v>1</v>
      </c>
      <c r="J26">
        <v>5</v>
      </c>
      <c r="K26">
        <v>3</v>
      </c>
      <c r="L26">
        <v>1</v>
      </c>
      <c r="M26">
        <v>1</v>
      </c>
      <c r="N26">
        <v>3</v>
      </c>
      <c r="O26">
        <v>3</v>
      </c>
      <c r="P26">
        <v>7</v>
      </c>
      <c r="Q26">
        <v>4</v>
      </c>
      <c r="R26">
        <v>3</v>
      </c>
      <c r="S26">
        <v>1</v>
      </c>
      <c r="T26">
        <v>4</v>
      </c>
      <c r="U26">
        <v>4</v>
      </c>
      <c r="V26">
        <v>4</v>
      </c>
      <c r="W26">
        <v>3</v>
      </c>
      <c r="X26">
        <v>1</v>
      </c>
      <c r="Y26">
        <v>3</v>
      </c>
      <c r="Z26">
        <v>4</v>
      </c>
      <c r="AA26">
        <v>4</v>
      </c>
      <c r="AB26">
        <v>1</v>
      </c>
      <c r="AC26">
        <v>3</v>
      </c>
      <c r="AD26">
        <v>1</v>
      </c>
      <c r="AE26">
        <v>2</v>
      </c>
      <c r="AF26">
        <v>3</v>
      </c>
      <c r="AG26">
        <v>3</v>
      </c>
      <c r="AH26">
        <v>4</v>
      </c>
      <c r="AI26">
        <v>1</v>
      </c>
    </row>
    <row r="27" spans="1:35" x14ac:dyDescent="0.25">
      <c r="A27" t="s">
        <v>232</v>
      </c>
      <c r="B27" t="s">
        <v>233</v>
      </c>
      <c r="C27" t="s">
        <v>234</v>
      </c>
      <c r="D27" t="s">
        <v>235</v>
      </c>
      <c r="E27" t="s">
        <v>137</v>
      </c>
      <c r="F27">
        <v>5</v>
      </c>
      <c r="G27">
        <v>1</v>
      </c>
      <c r="H27">
        <v>7</v>
      </c>
      <c r="I27">
        <v>4</v>
      </c>
      <c r="J27">
        <v>4</v>
      </c>
      <c r="K27">
        <v>3</v>
      </c>
      <c r="L27">
        <v>7</v>
      </c>
      <c r="M27">
        <v>4</v>
      </c>
      <c r="N27">
        <v>4</v>
      </c>
      <c r="O27">
        <v>4</v>
      </c>
      <c r="P27">
        <v>4</v>
      </c>
      <c r="Q27">
        <v>3</v>
      </c>
      <c r="R27">
        <v>2</v>
      </c>
      <c r="S27">
        <v>2</v>
      </c>
      <c r="T27">
        <v>5</v>
      </c>
      <c r="U27">
        <v>5</v>
      </c>
      <c r="V27">
        <v>3</v>
      </c>
      <c r="W27">
        <v>4</v>
      </c>
      <c r="X27">
        <v>3</v>
      </c>
      <c r="Y27">
        <v>5</v>
      </c>
      <c r="Z27">
        <v>5</v>
      </c>
      <c r="AA27">
        <v>6</v>
      </c>
      <c r="AB27">
        <v>7</v>
      </c>
      <c r="AC27">
        <v>3</v>
      </c>
      <c r="AD27">
        <v>4</v>
      </c>
      <c r="AE27">
        <v>4</v>
      </c>
      <c r="AF27">
        <v>1</v>
      </c>
      <c r="AG27">
        <v>4</v>
      </c>
      <c r="AH27">
        <v>6</v>
      </c>
      <c r="AI27">
        <v>4</v>
      </c>
    </row>
    <row r="28" spans="1:35" x14ac:dyDescent="0.25">
      <c r="A28" t="s">
        <v>236</v>
      </c>
      <c r="B28" t="s">
        <v>237</v>
      </c>
      <c r="C28" t="s">
        <v>238</v>
      </c>
      <c r="D28" t="s">
        <v>211</v>
      </c>
      <c r="E28" t="s">
        <v>239</v>
      </c>
      <c r="F28">
        <v>3</v>
      </c>
      <c r="G28">
        <v>3</v>
      </c>
      <c r="H28">
        <v>3</v>
      </c>
      <c r="I28">
        <v>3</v>
      </c>
      <c r="J28">
        <v>1</v>
      </c>
      <c r="K28">
        <v>2</v>
      </c>
      <c r="L28">
        <v>2</v>
      </c>
      <c r="M28">
        <v>5</v>
      </c>
      <c r="N28">
        <v>3</v>
      </c>
      <c r="O28">
        <v>4</v>
      </c>
      <c r="P28">
        <v>1</v>
      </c>
      <c r="Q28">
        <v>4</v>
      </c>
      <c r="R28">
        <v>2</v>
      </c>
      <c r="S28">
        <v>2</v>
      </c>
      <c r="T28">
        <v>5</v>
      </c>
      <c r="U28">
        <v>5</v>
      </c>
      <c r="V28">
        <v>2</v>
      </c>
      <c r="W28">
        <v>1</v>
      </c>
      <c r="X28">
        <v>2</v>
      </c>
      <c r="Y28">
        <v>5</v>
      </c>
      <c r="Z28">
        <v>5</v>
      </c>
      <c r="AA28">
        <v>4</v>
      </c>
      <c r="AB28">
        <v>1</v>
      </c>
      <c r="AC28">
        <v>2</v>
      </c>
      <c r="AD28">
        <v>1</v>
      </c>
      <c r="AE28">
        <v>4</v>
      </c>
      <c r="AF28">
        <v>6</v>
      </c>
      <c r="AG28">
        <v>2</v>
      </c>
      <c r="AH28">
        <v>1</v>
      </c>
      <c r="AI28">
        <v>1</v>
      </c>
    </row>
    <row r="29" spans="1:35" x14ac:dyDescent="0.25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>
        <v>2</v>
      </c>
      <c r="G29">
        <v>2</v>
      </c>
      <c r="H29">
        <v>4</v>
      </c>
      <c r="I29">
        <v>2</v>
      </c>
      <c r="J29">
        <v>1</v>
      </c>
      <c r="K29">
        <v>6</v>
      </c>
      <c r="L29">
        <v>2</v>
      </c>
      <c r="M29">
        <v>3</v>
      </c>
      <c r="N29">
        <v>3</v>
      </c>
      <c r="O29">
        <v>2</v>
      </c>
      <c r="P29">
        <v>2</v>
      </c>
      <c r="Q29">
        <v>6</v>
      </c>
      <c r="R29">
        <v>4</v>
      </c>
      <c r="S29">
        <v>1</v>
      </c>
      <c r="T29">
        <v>3</v>
      </c>
      <c r="U29">
        <v>5</v>
      </c>
      <c r="V29">
        <v>1</v>
      </c>
      <c r="W29">
        <v>5</v>
      </c>
      <c r="X29">
        <v>1</v>
      </c>
      <c r="Y29">
        <v>3</v>
      </c>
      <c r="Z29">
        <v>3</v>
      </c>
      <c r="AA29">
        <v>6</v>
      </c>
      <c r="AB29">
        <v>3</v>
      </c>
      <c r="AC29">
        <v>4</v>
      </c>
      <c r="AD29">
        <v>1</v>
      </c>
      <c r="AE29">
        <v>4</v>
      </c>
      <c r="AF29">
        <v>2</v>
      </c>
      <c r="AG29">
        <v>2</v>
      </c>
      <c r="AH29">
        <v>3</v>
      </c>
      <c r="AI29">
        <v>6</v>
      </c>
    </row>
    <row r="30" spans="1:35" x14ac:dyDescent="0.25">
      <c r="A30" t="s">
        <v>245</v>
      </c>
      <c r="B30" t="s">
        <v>246</v>
      </c>
      <c r="C30" t="s">
        <v>247</v>
      </c>
      <c r="D30" t="s">
        <v>248</v>
      </c>
      <c r="E30" t="s">
        <v>137</v>
      </c>
      <c r="F30">
        <v>2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2</v>
      </c>
      <c r="Q30">
        <v>2</v>
      </c>
      <c r="R30">
        <v>1</v>
      </c>
      <c r="S30">
        <v>1</v>
      </c>
      <c r="T30">
        <v>1</v>
      </c>
      <c r="U30">
        <v>1</v>
      </c>
      <c r="V30">
        <v>3</v>
      </c>
      <c r="W30">
        <v>1</v>
      </c>
      <c r="X30">
        <v>1</v>
      </c>
      <c r="Y30">
        <v>2</v>
      </c>
      <c r="Z30">
        <v>2</v>
      </c>
      <c r="AA30">
        <v>4</v>
      </c>
      <c r="AB30">
        <v>1</v>
      </c>
      <c r="AC30">
        <v>1</v>
      </c>
      <c r="AD30">
        <v>1</v>
      </c>
      <c r="AE30">
        <v>2</v>
      </c>
      <c r="AF30">
        <v>3</v>
      </c>
      <c r="AG30">
        <v>2</v>
      </c>
      <c r="AH30">
        <v>1</v>
      </c>
      <c r="AI30">
        <v>1</v>
      </c>
    </row>
    <row r="31" spans="1:35" x14ac:dyDescent="0.25">
      <c r="A31" t="s">
        <v>249</v>
      </c>
      <c r="B31" t="s">
        <v>250</v>
      </c>
      <c r="C31" t="s">
        <v>251</v>
      </c>
      <c r="D31" t="s">
        <v>126</v>
      </c>
      <c r="E31" t="s">
        <v>252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2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25">
      <c r="A32" t="s">
        <v>253</v>
      </c>
      <c r="B32" t="s">
        <v>254</v>
      </c>
      <c r="C32" t="s">
        <v>255</v>
      </c>
      <c r="D32" t="s">
        <v>256</v>
      </c>
      <c r="E32" t="s">
        <v>137</v>
      </c>
      <c r="F32">
        <v>4</v>
      </c>
      <c r="G32">
        <v>3</v>
      </c>
      <c r="H32">
        <v>2</v>
      </c>
      <c r="I32">
        <v>2</v>
      </c>
      <c r="J32">
        <v>3</v>
      </c>
      <c r="K32">
        <v>2</v>
      </c>
      <c r="L32">
        <v>2</v>
      </c>
      <c r="M32">
        <v>2</v>
      </c>
      <c r="N32">
        <v>2</v>
      </c>
      <c r="O32">
        <v>2</v>
      </c>
      <c r="P32">
        <v>3</v>
      </c>
      <c r="Q32">
        <v>3</v>
      </c>
      <c r="R32">
        <v>3</v>
      </c>
      <c r="S32">
        <v>2</v>
      </c>
      <c r="T32">
        <v>2</v>
      </c>
      <c r="U32">
        <v>3</v>
      </c>
      <c r="V32">
        <v>3</v>
      </c>
      <c r="W32">
        <v>3</v>
      </c>
      <c r="X32">
        <v>3</v>
      </c>
      <c r="Y32">
        <v>2</v>
      </c>
      <c r="Z32">
        <v>3</v>
      </c>
      <c r="AA32">
        <v>3</v>
      </c>
      <c r="AB32">
        <v>4</v>
      </c>
      <c r="AC32">
        <v>3</v>
      </c>
      <c r="AD32">
        <v>3</v>
      </c>
      <c r="AE32">
        <v>3</v>
      </c>
      <c r="AF32">
        <v>4</v>
      </c>
      <c r="AG32">
        <v>3</v>
      </c>
      <c r="AH32">
        <v>3</v>
      </c>
      <c r="AI32">
        <v>3</v>
      </c>
    </row>
    <row r="33" spans="1:35" x14ac:dyDescent="0.25">
      <c r="A33" t="s">
        <v>257</v>
      </c>
      <c r="B33" t="s">
        <v>258</v>
      </c>
      <c r="C33" t="s">
        <v>259</v>
      </c>
      <c r="D33" t="s">
        <v>174</v>
      </c>
      <c r="E33" t="s">
        <v>137</v>
      </c>
      <c r="F33">
        <v>6</v>
      </c>
      <c r="G33">
        <v>4</v>
      </c>
      <c r="H33">
        <v>5</v>
      </c>
      <c r="I33">
        <v>6</v>
      </c>
      <c r="J33">
        <v>4</v>
      </c>
      <c r="K33">
        <v>3</v>
      </c>
      <c r="L33">
        <v>3</v>
      </c>
      <c r="M33">
        <v>2</v>
      </c>
      <c r="N33">
        <v>2</v>
      </c>
      <c r="O33">
        <v>6</v>
      </c>
      <c r="P33">
        <v>6</v>
      </c>
      <c r="Q33">
        <v>1</v>
      </c>
      <c r="R33">
        <v>3</v>
      </c>
      <c r="S33">
        <v>3</v>
      </c>
      <c r="T33">
        <v>4</v>
      </c>
      <c r="U33">
        <v>5</v>
      </c>
      <c r="V33">
        <v>4</v>
      </c>
      <c r="W33">
        <v>2</v>
      </c>
      <c r="X33">
        <v>4</v>
      </c>
      <c r="Y33">
        <v>4</v>
      </c>
      <c r="Z33">
        <v>5</v>
      </c>
      <c r="AA33">
        <v>6</v>
      </c>
      <c r="AB33">
        <v>6</v>
      </c>
      <c r="AC33">
        <v>4</v>
      </c>
      <c r="AD33">
        <v>2</v>
      </c>
      <c r="AE33">
        <v>7</v>
      </c>
      <c r="AF33">
        <v>6</v>
      </c>
      <c r="AG33">
        <v>6</v>
      </c>
      <c r="AH33">
        <v>5</v>
      </c>
      <c r="AI33">
        <v>3</v>
      </c>
    </row>
    <row r="34" spans="1:35" x14ac:dyDescent="0.25">
      <c r="A34" t="s">
        <v>260</v>
      </c>
      <c r="B34" t="s">
        <v>261</v>
      </c>
      <c r="C34" t="s">
        <v>262</v>
      </c>
      <c r="D34" t="s">
        <v>263</v>
      </c>
      <c r="E34" t="s">
        <v>264</v>
      </c>
      <c r="F34">
        <v>2</v>
      </c>
      <c r="G34">
        <v>2</v>
      </c>
      <c r="H34">
        <v>3</v>
      </c>
      <c r="I34">
        <v>2</v>
      </c>
      <c r="J34">
        <v>1</v>
      </c>
      <c r="K34">
        <v>2</v>
      </c>
      <c r="L34">
        <v>2</v>
      </c>
      <c r="M34">
        <v>2</v>
      </c>
      <c r="N34">
        <v>2</v>
      </c>
      <c r="O34">
        <v>1</v>
      </c>
      <c r="P34">
        <v>1</v>
      </c>
      <c r="Q34">
        <v>7</v>
      </c>
      <c r="R34">
        <v>1</v>
      </c>
      <c r="S34">
        <v>2</v>
      </c>
      <c r="T34">
        <v>4</v>
      </c>
      <c r="U34">
        <v>2</v>
      </c>
      <c r="V34">
        <v>1</v>
      </c>
      <c r="W34">
        <v>2</v>
      </c>
      <c r="X34">
        <v>1</v>
      </c>
      <c r="Y34">
        <v>1</v>
      </c>
      <c r="Z34">
        <v>4</v>
      </c>
      <c r="AA34">
        <v>1</v>
      </c>
      <c r="AB34">
        <v>2</v>
      </c>
      <c r="AC34">
        <v>4</v>
      </c>
      <c r="AD34">
        <v>1</v>
      </c>
      <c r="AE34">
        <v>2</v>
      </c>
      <c r="AF34">
        <v>2</v>
      </c>
      <c r="AG34">
        <v>1</v>
      </c>
      <c r="AH34">
        <v>1</v>
      </c>
      <c r="AI34">
        <v>2</v>
      </c>
    </row>
    <row r="35" spans="1:35" x14ac:dyDescent="0.25">
      <c r="A35" t="s">
        <v>265</v>
      </c>
      <c r="B35" t="s">
        <v>266</v>
      </c>
      <c r="C35" t="s">
        <v>267</v>
      </c>
      <c r="D35" t="s">
        <v>268</v>
      </c>
      <c r="E35" t="s">
        <v>269</v>
      </c>
      <c r="F35">
        <v>2</v>
      </c>
      <c r="G35">
        <v>2</v>
      </c>
      <c r="H35">
        <v>4</v>
      </c>
      <c r="I35">
        <v>2</v>
      </c>
      <c r="J35">
        <v>6</v>
      </c>
      <c r="K35">
        <v>4</v>
      </c>
      <c r="L35">
        <v>7</v>
      </c>
      <c r="M35">
        <v>3</v>
      </c>
      <c r="N35">
        <v>2</v>
      </c>
      <c r="O35">
        <v>2</v>
      </c>
      <c r="P35">
        <v>1</v>
      </c>
      <c r="Q35">
        <v>7</v>
      </c>
      <c r="R35">
        <v>1</v>
      </c>
      <c r="S35">
        <v>6</v>
      </c>
      <c r="T35">
        <v>4</v>
      </c>
      <c r="U35">
        <v>5</v>
      </c>
      <c r="V35">
        <v>6</v>
      </c>
      <c r="W35">
        <v>4</v>
      </c>
      <c r="X35">
        <v>4</v>
      </c>
      <c r="Y35">
        <v>1</v>
      </c>
      <c r="Z35">
        <v>4</v>
      </c>
      <c r="AA35">
        <v>5</v>
      </c>
      <c r="AB35">
        <v>6</v>
      </c>
      <c r="AC35">
        <v>4</v>
      </c>
      <c r="AD35">
        <v>3</v>
      </c>
      <c r="AE35">
        <v>6</v>
      </c>
      <c r="AF35">
        <v>4</v>
      </c>
      <c r="AG35">
        <v>3</v>
      </c>
      <c r="AH35">
        <v>4</v>
      </c>
      <c r="AI35">
        <v>3</v>
      </c>
    </row>
    <row r="36" spans="1:35" x14ac:dyDescent="0.25">
      <c r="A36" t="s">
        <v>270</v>
      </c>
      <c r="B36" t="s">
        <v>271</v>
      </c>
      <c r="C36" t="s">
        <v>272</v>
      </c>
      <c r="D36" t="s">
        <v>66</v>
      </c>
      <c r="E36" t="s">
        <v>141</v>
      </c>
      <c r="F36">
        <v>2</v>
      </c>
      <c r="G36">
        <v>2</v>
      </c>
      <c r="H36">
        <v>4</v>
      </c>
      <c r="I36">
        <v>2</v>
      </c>
      <c r="J36">
        <v>2</v>
      </c>
      <c r="K36">
        <v>5</v>
      </c>
      <c r="L36">
        <v>1</v>
      </c>
      <c r="M36">
        <v>2</v>
      </c>
      <c r="N36">
        <v>2</v>
      </c>
      <c r="O36">
        <v>2</v>
      </c>
      <c r="P36">
        <v>1</v>
      </c>
      <c r="Q36">
        <v>3</v>
      </c>
      <c r="R36">
        <v>1</v>
      </c>
      <c r="S36">
        <v>1</v>
      </c>
      <c r="T36">
        <v>4</v>
      </c>
      <c r="U36">
        <v>2</v>
      </c>
      <c r="V36">
        <v>1</v>
      </c>
      <c r="W36">
        <v>2</v>
      </c>
      <c r="X36">
        <v>1</v>
      </c>
      <c r="Y36">
        <v>2</v>
      </c>
      <c r="Z36">
        <v>2</v>
      </c>
      <c r="AA36">
        <v>4</v>
      </c>
      <c r="AB36">
        <v>2</v>
      </c>
      <c r="AC36">
        <v>2</v>
      </c>
      <c r="AD36">
        <v>1</v>
      </c>
      <c r="AE36">
        <v>1</v>
      </c>
      <c r="AF36">
        <v>4</v>
      </c>
      <c r="AG36">
        <v>2</v>
      </c>
      <c r="AH36">
        <v>1</v>
      </c>
      <c r="AI36">
        <v>2</v>
      </c>
    </row>
    <row r="37" spans="1:35" x14ac:dyDescent="0.25">
      <c r="A37" t="s">
        <v>273</v>
      </c>
      <c r="B37" t="s">
        <v>274</v>
      </c>
      <c r="C37" t="s">
        <v>275</v>
      </c>
      <c r="D37" t="s">
        <v>276</v>
      </c>
      <c r="E37" t="s">
        <v>161</v>
      </c>
      <c r="F37">
        <v>1</v>
      </c>
      <c r="G37">
        <v>3</v>
      </c>
      <c r="H37">
        <v>4</v>
      </c>
      <c r="I37">
        <v>6</v>
      </c>
      <c r="J37">
        <v>3</v>
      </c>
      <c r="K37">
        <v>5</v>
      </c>
      <c r="L37">
        <v>6</v>
      </c>
      <c r="M37">
        <v>2</v>
      </c>
      <c r="N37">
        <v>4</v>
      </c>
      <c r="O37">
        <v>5</v>
      </c>
      <c r="P37">
        <v>1</v>
      </c>
      <c r="Q37">
        <v>5</v>
      </c>
      <c r="R37">
        <v>1</v>
      </c>
      <c r="S37">
        <v>1</v>
      </c>
      <c r="T37">
        <v>2</v>
      </c>
      <c r="U37">
        <v>6</v>
      </c>
      <c r="V37">
        <v>3</v>
      </c>
      <c r="W37">
        <v>5</v>
      </c>
      <c r="X37">
        <v>2</v>
      </c>
      <c r="Y37">
        <v>2</v>
      </c>
      <c r="Z37">
        <v>6</v>
      </c>
      <c r="AA37">
        <v>7</v>
      </c>
      <c r="AB37">
        <v>1</v>
      </c>
      <c r="AC37">
        <v>7</v>
      </c>
      <c r="AD37">
        <v>1</v>
      </c>
      <c r="AE37">
        <v>4</v>
      </c>
      <c r="AF37">
        <v>3</v>
      </c>
      <c r="AG37">
        <v>1</v>
      </c>
      <c r="AH37">
        <v>1</v>
      </c>
      <c r="AI37">
        <v>7</v>
      </c>
    </row>
    <row r="38" spans="1:35" x14ac:dyDescent="0.25">
      <c r="A38" t="s">
        <v>277</v>
      </c>
      <c r="B38" t="s">
        <v>278</v>
      </c>
      <c r="C38" t="s">
        <v>279</v>
      </c>
      <c r="D38" t="s">
        <v>256</v>
      </c>
      <c r="E38" t="s">
        <v>137</v>
      </c>
      <c r="F38">
        <v>4</v>
      </c>
      <c r="G38">
        <v>2</v>
      </c>
      <c r="H38">
        <v>1</v>
      </c>
      <c r="I38">
        <v>1</v>
      </c>
      <c r="J38">
        <v>6</v>
      </c>
      <c r="K38">
        <v>3</v>
      </c>
      <c r="L38">
        <v>5</v>
      </c>
      <c r="M38">
        <v>4</v>
      </c>
      <c r="N38">
        <v>1</v>
      </c>
      <c r="O38">
        <v>1</v>
      </c>
      <c r="P38">
        <v>3</v>
      </c>
      <c r="Q38">
        <v>7</v>
      </c>
      <c r="R38">
        <v>5</v>
      </c>
      <c r="S38">
        <v>4</v>
      </c>
      <c r="T38">
        <v>4</v>
      </c>
      <c r="U38">
        <v>5</v>
      </c>
      <c r="V38">
        <v>4</v>
      </c>
      <c r="W38">
        <v>4</v>
      </c>
      <c r="X38">
        <v>3</v>
      </c>
      <c r="Y38">
        <v>4</v>
      </c>
      <c r="Z38">
        <v>3</v>
      </c>
      <c r="AA38">
        <v>4</v>
      </c>
      <c r="AB38">
        <v>5</v>
      </c>
      <c r="AC38">
        <v>4</v>
      </c>
      <c r="AD38">
        <v>4</v>
      </c>
      <c r="AE38">
        <v>4</v>
      </c>
      <c r="AF38">
        <v>4</v>
      </c>
      <c r="AG38">
        <v>5</v>
      </c>
      <c r="AH38">
        <v>4</v>
      </c>
      <c r="AI38">
        <v>4</v>
      </c>
    </row>
    <row r="39" spans="1:35" x14ac:dyDescent="0.25">
      <c r="A39" t="s">
        <v>280</v>
      </c>
      <c r="B39" t="s">
        <v>281</v>
      </c>
      <c r="C39" t="s">
        <v>282</v>
      </c>
      <c r="D39" t="s">
        <v>283</v>
      </c>
      <c r="E39" t="s">
        <v>284</v>
      </c>
      <c r="F39">
        <v>1</v>
      </c>
      <c r="G39">
        <v>1</v>
      </c>
      <c r="H39">
        <v>2</v>
      </c>
      <c r="I39">
        <v>1</v>
      </c>
      <c r="J39">
        <v>2</v>
      </c>
      <c r="K39">
        <v>2</v>
      </c>
      <c r="L39">
        <v>1</v>
      </c>
      <c r="M39">
        <v>1</v>
      </c>
      <c r="N39">
        <v>2</v>
      </c>
      <c r="O39">
        <v>3</v>
      </c>
      <c r="P39">
        <v>1</v>
      </c>
      <c r="Q39">
        <v>5</v>
      </c>
      <c r="R39">
        <v>1</v>
      </c>
      <c r="S39">
        <v>1</v>
      </c>
      <c r="T39">
        <v>4</v>
      </c>
      <c r="U39">
        <v>5</v>
      </c>
      <c r="V39">
        <v>3</v>
      </c>
      <c r="W39">
        <v>1</v>
      </c>
      <c r="X39">
        <v>1</v>
      </c>
      <c r="Y39">
        <v>4</v>
      </c>
      <c r="Z39">
        <v>5</v>
      </c>
      <c r="AA39">
        <v>3</v>
      </c>
      <c r="AB39">
        <v>3</v>
      </c>
      <c r="AC39">
        <v>5</v>
      </c>
      <c r="AD39">
        <v>2</v>
      </c>
      <c r="AE39">
        <v>7</v>
      </c>
      <c r="AF39">
        <v>4</v>
      </c>
      <c r="AG39">
        <v>3</v>
      </c>
      <c r="AH39">
        <v>4</v>
      </c>
      <c r="AI39">
        <v>2</v>
      </c>
    </row>
    <row r="40" spans="1:35" x14ac:dyDescent="0.25">
      <c r="A40" t="s">
        <v>285</v>
      </c>
      <c r="B40" t="s">
        <v>286</v>
      </c>
      <c r="C40" t="s">
        <v>287</v>
      </c>
      <c r="D40" t="s">
        <v>131</v>
      </c>
      <c r="E40" t="s">
        <v>132</v>
      </c>
      <c r="F40">
        <v>2</v>
      </c>
      <c r="G40">
        <v>2</v>
      </c>
      <c r="H40">
        <v>2</v>
      </c>
      <c r="I40">
        <v>2</v>
      </c>
      <c r="J40">
        <v>2</v>
      </c>
      <c r="K40">
        <v>4</v>
      </c>
      <c r="L40">
        <v>2</v>
      </c>
      <c r="M40">
        <v>2</v>
      </c>
      <c r="N40">
        <v>2</v>
      </c>
      <c r="O40">
        <v>2</v>
      </c>
      <c r="P40">
        <v>2</v>
      </c>
      <c r="Q40">
        <v>4</v>
      </c>
      <c r="R40">
        <v>1</v>
      </c>
      <c r="S40">
        <v>2</v>
      </c>
      <c r="T40">
        <v>2</v>
      </c>
      <c r="U40">
        <v>2</v>
      </c>
      <c r="V40">
        <v>2</v>
      </c>
      <c r="W40">
        <v>5</v>
      </c>
      <c r="X40">
        <v>2</v>
      </c>
      <c r="Y40">
        <v>2</v>
      </c>
      <c r="Z40">
        <v>3</v>
      </c>
      <c r="AA40">
        <v>3</v>
      </c>
      <c r="AB40">
        <v>2</v>
      </c>
      <c r="AC40">
        <v>4</v>
      </c>
      <c r="AD40">
        <v>2</v>
      </c>
      <c r="AE40">
        <v>4</v>
      </c>
      <c r="AF40">
        <v>2</v>
      </c>
      <c r="AG40">
        <v>2</v>
      </c>
      <c r="AH40">
        <v>4</v>
      </c>
      <c r="AI40">
        <v>2</v>
      </c>
    </row>
    <row r="41" spans="1:35" x14ac:dyDescent="0.25">
      <c r="A41" t="s">
        <v>288</v>
      </c>
      <c r="B41" t="s">
        <v>289</v>
      </c>
      <c r="C41" t="s">
        <v>290</v>
      </c>
      <c r="D41" t="s">
        <v>291</v>
      </c>
      <c r="E41" t="s">
        <v>137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25">
      <c r="A42" t="s">
        <v>292</v>
      </c>
      <c r="B42" t="s">
        <v>293</v>
      </c>
      <c r="C42" t="s">
        <v>294</v>
      </c>
      <c r="D42" t="s">
        <v>295</v>
      </c>
      <c r="E42" t="s">
        <v>132</v>
      </c>
      <c r="F42">
        <v>1</v>
      </c>
      <c r="G42">
        <v>2</v>
      </c>
      <c r="H42">
        <v>2</v>
      </c>
      <c r="I42">
        <v>2</v>
      </c>
      <c r="J42">
        <v>3</v>
      </c>
      <c r="K42">
        <v>4</v>
      </c>
      <c r="L42">
        <v>2</v>
      </c>
      <c r="M42">
        <v>1</v>
      </c>
      <c r="N42">
        <v>2</v>
      </c>
      <c r="O42">
        <v>4</v>
      </c>
      <c r="P42">
        <v>2</v>
      </c>
      <c r="Q42">
        <v>1</v>
      </c>
      <c r="R42">
        <v>2</v>
      </c>
      <c r="S42">
        <v>1</v>
      </c>
      <c r="T42">
        <v>2</v>
      </c>
      <c r="U42">
        <v>4</v>
      </c>
      <c r="V42">
        <v>3</v>
      </c>
      <c r="W42">
        <v>4</v>
      </c>
      <c r="X42">
        <v>4</v>
      </c>
      <c r="Y42">
        <v>5</v>
      </c>
      <c r="Z42">
        <v>3</v>
      </c>
      <c r="AA42">
        <v>6</v>
      </c>
      <c r="AB42">
        <v>3</v>
      </c>
      <c r="AC42">
        <v>3</v>
      </c>
      <c r="AD42">
        <v>1</v>
      </c>
      <c r="AE42">
        <v>2</v>
      </c>
      <c r="AF42">
        <v>2</v>
      </c>
      <c r="AG42">
        <v>5</v>
      </c>
      <c r="AH42">
        <v>4</v>
      </c>
      <c r="AI42">
        <v>4</v>
      </c>
    </row>
    <row r="43" spans="1:35" x14ac:dyDescent="0.25">
      <c r="A43" t="s">
        <v>296</v>
      </c>
      <c r="B43" t="s">
        <v>297</v>
      </c>
      <c r="C43" t="s">
        <v>298</v>
      </c>
      <c r="D43" t="s">
        <v>174</v>
      </c>
      <c r="E43" t="s">
        <v>137</v>
      </c>
      <c r="F43">
        <v>2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2</v>
      </c>
      <c r="AB43">
        <v>1</v>
      </c>
      <c r="AC43">
        <v>2</v>
      </c>
      <c r="AD43">
        <v>1</v>
      </c>
      <c r="AE43">
        <v>2</v>
      </c>
      <c r="AF43">
        <v>1</v>
      </c>
      <c r="AG43">
        <v>2</v>
      </c>
      <c r="AH43">
        <v>1</v>
      </c>
      <c r="AI43">
        <v>1</v>
      </c>
    </row>
    <row r="44" spans="1:35" x14ac:dyDescent="0.25">
      <c r="A44" t="s">
        <v>299</v>
      </c>
      <c r="B44" t="s">
        <v>300</v>
      </c>
      <c r="C44" t="s">
        <v>301</v>
      </c>
      <c r="D44" t="s">
        <v>302</v>
      </c>
      <c r="E44" t="s">
        <v>137</v>
      </c>
      <c r="F44">
        <v>4</v>
      </c>
      <c r="G44">
        <v>6</v>
      </c>
      <c r="H44">
        <v>5</v>
      </c>
      <c r="I44">
        <v>2</v>
      </c>
      <c r="J44">
        <v>1</v>
      </c>
      <c r="K44">
        <v>2</v>
      </c>
      <c r="L44">
        <v>4</v>
      </c>
      <c r="M44">
        <v>1</v>
      </c>
      <c r="N44">
        <v>1</v>
      </c>
      <c r="O44">
        <v>1</v>
      </c>
      <c r="P44">
        <v>1</v>
      </c>
      <c r="Q44">
        <v>4</v>
      </c>
      <c r="R44">
        <v>1</v>
      </c>
      <c r="S44">
        <v>1</v>
      </c>
      <c r="T44">
        <v>3</v>
      </c>
      <c r="U44">
        <v>4</v>
      </c>
      <c r="V44">
        <v>1</v>
      </c>
      <c r="W44">
        <v>1</v>
      </c>
      <c r="X44">
        <v>1</v>
      </c>
      <c r="Y44">
        <v>6</v>
      </c>
      <c r="Z44">
        <v>4</v>
      </c>
      <c r="AA44">
        <v>1</v>
      </c>
      <c r="AB44">
        <v>1</v>
      </c>
      <c r="AC44">
        <v>1</v>
      </c>
      <c r="AD44">
        <v>1</v>
      </c>
      <c r="AE44">
        <v>2</v>
      </c>
      <c r="AF44">
        <v>3</v>
      </c>
      <c r="AG44">
        <v>1</v>
      </c>
      <c r="AH44">
        <v>1</v>
      </c>
      <c r="AI44">
        <v>1</v>
      </c>
    </row>
    <row r="45" spans="1:35" x14ac:dyDescent="0.25">
      <c r="A45" t="s">
        <v>303</v>
      </c>
      <c r="B45" t="s">
        <v>304</v>
      </c>
      <c r="C45" t="s">
        <v>305</v>
      </c>
      <c r="D45" t="s">
        <v>306</v>
      </c>
      <c r="E45" t="s">
        <v>141</v>
      </c>
      <c r="F45">
        <v>3</v>
      </c>
      <c r="G45">
        <v>1</v>
      </c>
      <c r="H45">
        <v>5</v>
      </c>
      <c r="I45">
        <v>1</v>
      </c>
      <c r="J45">
        <v>1</v>
      </c>
      <c r="K45">
        <v>1</v>
      </c>
      <c r="L45">
        <v>4</v>
      </c>
      <c r="M45">
        <v>1</v>
      </c>
      <c r="N45">
        <v>1</v>
      </c>
      <c r="O45">
        <v>3</v>
      </c>
      <c r="P45">
        <v>1</v>
      </c>
      <c r="Q45">
        <v>1</v>
      </c>
      <c r="R45">
        <v>1</v>
      </c>
      <c r="S45">
        <v>1</v>
      </c>
      <c r="T45">
        <v>3</v>
      </c>
      <c r="U45">
        <v>4</v>
      </c>
      <c r="V45">
        <v>4</v>
      </c>
      <c r="W45">
        <v>3</v>
      </c>
      <c r="X45">
        <v>4</v>
      </c>
      <c r="Y45">
        <v>4</v>
      </c>
      <c r="Z45">
        <v>4</v>
      </c>
      <c r="AA45">
        <v>6</v>
      </c>
      <c r="AB45">
        <v>3</v>
      </c>
      <c r="AC45">
        <v>5</v>
      </c>
      <c r="AD45">
        <v>1</v>
      </c>
      <c r="AE45">
        <v>4</v>
      </c>
      <c r="AF45">
        <v>4</v>
      </c>
      <c r="AG45">
        <v>4</v>
      </c>
      <c r="AH45">
        <v>2</v>
      </c>
      <c r="AI45">
        <v>3</v>
      </c>
    </row>
    <row r="46" spans="1:35" x14ac:dyDescent="0.25">
      <c r="A46" t="s">
        <v>307</v>
      </c>
      <c r="B46" t="s">
        <v>308</v>
      </c>
      <c r="C46" t="s">
        <v>309</v>
      </c>
      <c r="D46" t="s">
        <v>256</v>
      </c>
      <c r="E46" t="s">
        <v>137</v>
      </c>
      <c r="F46">
        <v>4</v>
      </c>
      <c r="G46">
        <v>4</v>
      </c>
      <c r="H46">
        <v>5</v>
      </c>
      <c r="I46">
        <v>5</v>
      </c>
      <c r="J46">
        <v>5</v>
      </c>
      <c r="K46">
        <v>2</v>
      </c>
      <c r="L46">
        <v>5</v>
      </c>
      <c r="M46">
        <v>1</v>
      </c>
      <c r="N46">
        <v>3</v>
      </c>
      <c r="O46">
        <v>4</v>
      </c>
      <c r="P46">
        <v>1</v>
      </c>
      <c r="Q46">
        <v>3</v>
      </c>
      <c r="R46">
        <v>3</v>
      </c>
      <c r="S46">
        <v>5</v>
      </c>
      <c r="T46">
        <v>5</v>
      </c>
      <c r="U46">
        <v>5</v>
      </c>
      <c r="V46">
        <v>4</v>
      </c>
      <c r="W46">
        <v>3</v>
      </c>
      <c r="X46">
        <v>6</v>
      </c>
      <c r="Y46">
        <v>5</v>
      </c>
      <c r="Z46">
        <v>4</v>
      </c>
      <c r="AA46">
        <v>5</v>
      </c>
      <c r="AB46">
        <v>5</v>
      </c>
      <c r="AC46">
        <v>1</v>
      </c>
      <c r="AD46">
        <v>4</v>
      </c>
      <c r="AE46">
        <v>5</v>
      </c>
      <c r="AF46">
        <v>6</v>
      </c>
      <c r="AG46">
        <v>5</v>
      </c>
      <c r="AH46">
        <v>6</v>
      </c>
      <c r="AI46">
        <v>1</v>
      </c>
    </row>
    <row r="47" spans="1:35" x14ac:dyDescent="0.25">
      <c r="A47" t="s">
        <v>310</v>
      </c>
      <c r="B47" t="s">
        <v>311</v>
      </c>
      <c r="C47" t="s">
        <v>312</v>
      </c>
      <c r="D47" t="s">
        <v>174</v>
      </c>
      <c r="E47" t="s">
        <v>137</v>
      </c>
      <c r="F47">
        <v>1</v>
      </c>
      <c r="G47">
        <v>1</v>
      </c>
      <c r="H47">
        <v>4</v>
      </c>
      <c r="I47">
        <v>1</v>
      </c>
      <c r="J47">
        <v>1</v>
      </c>
      <c r="K47">
        <v>4</v>
      </c>
      <c r="L47">
        <v>1</v>
      </c>
      <c r="M47">
        <v>1</v>
      </c>
      <c r="N47">
        <v>1</v>
      </c>
      <c r="O47">
        <v>1</v>
      </c>
      <c r="P47">
        <v>1</v>
      </c>
      <c r="Q47">
        <v>3</v>
      </c>
      <c r="R47">
        <v>1</v>
      </c>
      <c r="S47">
        <v>1</v>
      </c>
      <c r="T47">
        <v>1</v>
      </c>
      <c r="U47">
        <v>4</v>
      </c>
      <c r="V47">
        <v>1</v>
      </c>
      <c r="W47">
        <v>4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4</v>
      </c>
      <c r="AH47">
        <v>1</v>
      </c>
      <c r="AI47">
        <v>1</v>
      </c>
    </row>
    <row r="48" spans="1:35" x14ac:dyDescent="0.25">
      <c r="A48" t="s">
        <v>313</v>
      </c>
      <c r="B48" t="s">
        <v>314</v>
      </c>
      <c r="C48" t="s">
        <v>315</v>
      </c>
      <c r="D48" t="s">
        <v>65</v>
      </c>
      <c r="E48" t="s">
        <v>316</v>
      </c>
      <c r="F48">
        <v>2</v>
      </c>
      <c r="G48">
        <v>1</v>
      </c>
      <c r="H48">
        <v>6</v>
      </c>
      <c r="I48">
        <v>2</v>
      </c>
      <c r="J48">
        <v>2</v>
      </c>
      <c r="K48">
        <v>6</v>
      </c>
      <c r="L48">
        <v>1</v>
      </c>
      <c r="M48">
        <v>5</v>
      </c>
      <c r="N48">
        <v>1</v>
      </c>
      <c r="O48">
        <v>2</v>
      </c>
      <c r="P48">
        <v>2</v>
      </c>
      <c r="Q48">
        <v>5</v>
      </c>
      <c r="R48">
        <v>2</v>
      </c>
      <c r="S48">
        <v>4</v>
      </c>
      <c r="T48">
        <v>4</v>
      </c>
      <c r="U48">
        <v>3</v>
      </c>
      <c r="V48">
        <v>2</v>
      </c>
      <c r="W48">
        <v>5</v>
      </c>
      <c r="X48">
        <v>4</v>
      </c>
      <c r="Y48">
        <v>5</v>
      </c>
      <c r="Z48">
        <v>4</v>
      </c>
      <c r="AA48">
        <v>4</v>
      </c>
      <c r="AB48">
        <v>2</v>
      </c>
      <c r="AC48">
        <v>5</v>
      </c>
      <c r="AD48">
        <v>2</v>
      </c>
      <c r="AE48">
        <v>3</v>
      </c>
      <c r="AF48">
        <v>2</v>
      </c>
      <c r="AG48">
        <v>2</v>
      </c>
      <c r="AH48">
        <v>2</v>
      </c>
      <c r="AI48">
        <v>5</v>
      </c>
    </row>
    <row r="49" spans="1:35" x14ac:dyDescent="0.25">
      <c r="A49" t="s">
        <v>317</v>
      </c>
      <c r="B49" t="s">
        <v>318</v>
      </c>
      <c r="C49" t="s">
        <v>319</v>
      </c>
      <c r="D49" t="s">
        <v>178</v>
      </c>
      <c r="E49" t="s">
        <v>320</v>
      </c>
      <c r="F49">
        <v>1</v>
      </c>
      <c r="G49">
        <v>1</v>
      </c>
      <c r="H49">
        <v>1</v>
      </c>
      <c r="I49">
        <v>1</v>
      </c>
      <c r="J49">
        <v>2</v>
      </c>
      <c r="K49">
        <v>7</v>
      </c>
      <c r="L49">
        <v>2</v>
      </c>
      <c r="M49">
        <v>2</v>
      </c>
      <c r="N49">
        <v>5</v>
      </c>
      <c r="O49">
        <v>4</v>
      </c>
      <c r="P49">
        <v>1</v>
      </c>
      <c r="Q49">
        <v>5</v>
      </c>
      <c r="R49">
        <v>5</v>
      </c>
      <c r="S49">
        <v>1</v>
      </c>
      <c r="T49">
        <v>1</v>
      </c>
      <c r="U49">
        <v>2</v>
      </c>
      <c r="V49">
        <v>1</v>
      </c>
      <c r="W49">
        <v>1</v>
      </c>
      <c r="X49">
        <v>5</v>
      </c>
      <c r="Y49">
        <v>3</v>
      </c>
      <c r="Z49">
        <v>5</v>
      </c>
      <c r="AA49">
        <v>7</v>
      </c>
      <c r="AB49">
        <v>5</v>
      </c>
      <c r="AC49">
        <v>7</v>
      </c>
      <c r="AD49">
        <v>3</v>
      </c>
      <c r="AE49">
        <v>5</v>
      </c>
      <c r="AF49">
        <v>4</v>
      </c>
      <c r="AG49">
        <v>4</v>
      </c>
      <c r="AH49">
        <v>3</v>
      </c>
      <c r="AI49">
        <v>7</v>
      </c>
    </row>
    <row r="50" spans="1:35" x14ac:dyDescent="0.25">
      <c r="A50" t="s">
        <v>321</v>
      </c>
      <c r="B50" t="s">
        <v>322</v>
      </c>
      <c r="C50" t="s">
        <v>323</v>
      </c>
      <c r="D50" t="s">
        <v>324</v>
      </c>
      <c r="E50" t="s">
        <v>161</v>
      </c>
      <c r="F50">
        <v>2</v>
      </c>
      <c r="G50">
        <v>2</v>
      </c>
      <c r="H50">
        <v>1</v>
      </c>
      <c r="I50">
        <v>1</v>
      </c>
      <c r="J50">
        <v>1</v>
      </c>
      <c r="K50">
        <v>2</v>
      </c>
      <c r="L50">
        <v>1</v>
      </c>
      <c r="M50">
        <v>1</v>
      </c>
      <c r="N50">
        <v>1</v>
      </c>
      <c r="O50">
        <v>2</v>
      </c>
      <c r="P50">
        <v>1</v>
      </c>
      <c r="Q50">
        <v>1</v>
      </c>
      <c r="R50">
        <v>1</v>
      </c>
      <c r="S50">
        <v>1</v>
      </c>
      <c r="T50">
        <v>1</v>
      </c>
      <c r="U50">
        <v>3</v>
      </c>
      <c r="V50">
        <v>1</v>
      </c>
      <c r="W50">
        <v>4</v>
      </c>
      <c r="X50">
        <v>7</v>
      </c>
      <c r="Y50">
        <v>1</v>
      </c>
      <c r="Z50">
        <v>2</v>
      </c>
      <c r="AA50">
        <v>3</v>
      </c>
      <c r="AB50">
        <v>1</v>
      </c>
      <c r="AC50">
        <v>2</v>
      </c>
      <c r="AD50">
        <v>1</v>
      </c>
      <c r="AE50">
        <v>1</v>
      </c>
      <c r="AF50">
        <v>2</v>
      </c>
      <c r="AG50">
        <v>1</v>
      </c>
      <c r="AH50">
        <v>1</v>
      </c>
      <c r="AI50">
        <v>1</v>
      </c>
    </row>
    <row r="51" spans="1:35" x14ac:dyDescent="0.25">
      <c r="A51" t="s">
        <v>325</v>
      </c>
      <c r="B51" t="s">
        <v>326</v>
      </c>
      <c r="C51" t="s">
        <v>327</v>
      </c>
      <c r="D51" t="s">
        <v>328</v>
      </c>
      <c r="E51" t="s">
        <v>194</v>
      </c>
      <c r="F51">
        <v>3</v>
      </c>
      <c r="G51">
        <v>1</v>
      </c>
      <c r="H51">
        <v>2</v>
      </c>
      <c r="I51">
        <v>1</v>
      </c>
      <c r="J51">
        <v>1</v>
      </c>
      <c r="K51">
        <v>2</v>
      </c>
      <c r="L51">
        <v>1</v>
      </c>
      <c r="M51">
        <v>1</v>
      </c>
      <c r="N51">
        <v>1</v>
      </c>
      <c r="O51">
        <v>1</v>
      </c>
      <c r="P51">
        <v>1</v>
      </c>
      <c r="Q51">
        <v>2</v>
      </c>
      <c r="R51">
        <v>1</v>
      </c>
      <c r="S51">
        <v>1</v>
      </c>
      <c r="T51">
        <v>1</v>
      </c>
      <c r="U51">
        <v>2</v>
      </c>
      <c r="V51">
        <v>1</v>
      </c>
      <c r="W51">
        <v>1</v>
      </c>
      <c r="X51">
        <v>3</v>
      </c>
      <c r="Y51">
        <v>2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2</v>
      </c>
      <c r="AI51">
        <v>1</v>
      </c>
    </row>
    <row r="52" spans="1:35" x14ac:dyDescent="0.25">
      <c r="A52" t="s">
        <v>329</v>
      </c>
      <c r="B52" t="s">
        <v>330</v>
      </c>
      <c r="C52" t="s">
        <v>331</v>
      </c>
      <c r="D52" t="s">
        <v>147</v>
      </c>
      <c r="E52" t="s">
        <v>264</v>
      </c>
      <c r="F52">
        <v>3</v>
      </c>
      <c r="G52">
        <v>3</v>
      </c>
      <c r="H52">
        <v>1</v>
      </c>
      <c r="I52">
        <v>1</v>
      </c>
      <c r="J52">
        <v>4</v>
      </c>
      <c r="K52">
        <v>1</v>
      </c>
      <c r="L52">
        <v>3</v>
      </c>
      <c r="M52">
        <v>1</v>
      </c>
      <c r="N52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1</v>
      </c>
      <c r="U52">
        <v>3</v>
      </c>
      <c r="V52">
        <v>1</v>
      </c>
      <c r="W52">
        <v>1</v>
      </c>
      <c r="X52">
        <v>2</v>
      </c>
      <c r="Y52">
        <v>1</v>
      </c>
      <c r="Z52">
        <v>1</v>
      </c>
      <c r="AA52">
        <v>2</v>
      </c>
      <c r="AB52">
        <v>2</v>
      </c>
      <c r="AC52">
        <v>4</v>
      </c>
      <c r="AD52">
        <v>1</v>
      </c>
      <c r="AE52">
        <v>2</v>
      </c>
      <c r="AF52">
        <v>1</v>
      </c>
      <c r="AG52">
        <v>1</v>
      </c>
      <c r="AH52">
        <v>1</v>
      </c>
      <c r="AI52">
        <v>2</v>
      </c>
    </row>
    <row r="53" spans="1:35" x14ac:dyDescent="0.25">
      <c r="A53" t="s">
        <v>332</v>
      </c>
      <c r="B53" t="s">
        <v>333</v>
      </c>
      <c r="C53" t="s">
        <v>334</v>
      </c>
      <c r="D53" t="s">
        <v>211</v>
      </c>
      <c r="E53" t="s">
        <v>212</v>
      </c>
      <c r="F53">
        <v>1</v>
      </c>
      <c r="G53">
        <v>2</v>
      </c>
      <c r="H53">
        <v>2</v>
      </c>
      <c r="I53">
        <v>2</v>
      </c>
      <c r="J53">
        <v>2</v>
      </c>
      <c r="K53">
        <v>2</v>
      </c>
      <c r="L53">
        <v>1</v>
      </c>
      <c r="M53">
        <v>1</v>
      </c>
      <c r="N53">
        <v>1</v>
      </c>
      <c r="O53">
        <v>2</v>
      </c>
      <c r="P53">
        <v>4</v>
      </c>
      <c r="Q53">
        <v>2</v>
      </c>
      <c r="R53">
        <v>2</v>
      </c>
      <c r="S53">
        <v>3</v>
      </c>
      <c r="T53">
        <v>3</v>
      </c>
      <c r="U53">
        <v>3</v>
      </c>
      <c r="V53">
        <v>2</v>
      </c>
      <c r="W53">
        <v>2</v>
      </c>
      <c r="X53">
        <v>2</v>
      </c>
      <c r="Y53">
        <v>2</v>
      </c>
      <c r="Z53">
        <v>2</v>
      </c>
      <c r="AA53">
        <v>3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3</v>
      </c>
      <c r="AI53">
        <v>3</v>
      </c>
    </row>
    <row r="54" spans="1:35" x14ac:dyDescent="0.25">
      <c r="A54" t="s">
        <v>335</v>
      </c>
      <c r="B54" t="s">
        <v>336</v>
      </c>
      <c r="C54" t="s">
        <v>337</v>
      </c>
      <c r="D54" t="s">
        <v>338</v>
      </c>
      <c r="E54" t="s">
        <v>264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>
        <v>1</v>
      </c>
      <c r="W54">
        <v>1</v>
      </c>
      <c r="X54">
        <v>1</v>
      </c>
      <c r="Y54">
        <v>1</v>
      </c>
      <c r="Z54">
        <v>2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25">
      <c r="A55" t="s">
        <v>339</v>
      </c>
      <c r="B55" t="s">
        <v>340</v>
      </c>
      <c r="C55" t="s">
        <v>341</v>
      </c>
      <c r="D55" t="s">
        <v>342</v>
      </c>
      <c r="E55" t="s">
        <v>343</v>
      </c>
      <c r="F55">
        <v>2</v>
      </c>
      <c r="G55">
        <v>3</v>
      </c>
      <c r="H55">
        <v>3</v>
      </c>
      <c r="I55">
        <v>2</v>
      </c>
      <c r="J55">
        <v>3</v>
      </c>
      <c r="K55">
        <v>2</v>
      </c>
      <c r="L55">
        <v>1</v>
      </c>
      <c r="M55">
        <v>1</v>
      </c>
      <c r="N55">
        <v>2</v>
      </c>
      <c r="O55">
        <v>3</v>
      </c>
      <c r="P55">
        <v>1</v>
      </c>
      <c r="Q55">
        <v>1</v>
      </c>
      <c r="R55">
        <v>3</v>
      </c>
      <c r="S55">
        <v>1</v>
      </c>
      <c r="T55">
        <v>3</v>
      </c>
      <c r="U55">
        <v>3</v>
      </c>
      <c r="V55">
        <v>1</v>
      </c>
      <c r="W55">
        <v>1</v>
      </c>
      <c r="X55">
        <v>2</v>
      </c>
      <c r="Y55">
        <v>1</v>
      </c>
      <c r="Z55">
        <v>1</v>
      </c>
      <c r="AA55">
        <v>2</v>
      </c>
      <c r="AB55">
        <v>3</v>
      </c>
      <c r="AC55">
        <v>3</v>
      </c>
      <c r="AD55">
        <v>2</v>
      </c>
      <c r="AE55">
        <v>1</v>
      </c>
      <c r="AF55">
        <v>2</v>
      </c>
      <c r="AG55">
        <v>2</v>
      </c>
      <c r="AH55">
        <v>1</v>
      </c>
      <c r="AI55">
        <v>2</v>
      </c>
    </row>
    <row r="56" spans="1:35" x14ac:dyDescent="0.25">
      <c r="A56" t="s">
        <v>344</v>
      </c>
      <c r="B56" t="s">
        <v>345</v>
      </c>
      <c r="C56" t="s">
        <v>346</v>
      </c>
      <c r="D56" t="s">
        <v>347</v>
      </c>
      <c r="E56" t="s">
        <v>348</v>
      </c>
      <c r="F56">
        <v>2</v>
      </c>
      <c r="G56">
        <v>1</v>
      </c>
      <c r="H56">
        <v>2</v>
      </c>
      <c r="I56">
        <v>2</v>
      </c>
      <c r="J56">
        <v>1</v>
      </c>
      <c r="K56">
        <v>2</v>
      </c>
      <c r="L56">
        <v>2</v>
      </c>
      <c r="M56">
        <v>1</v>
      </c>
      <c r="N56">
        <v>1</v>
      </c>
      <c r="O56">
        <v>2</v>
      </c>
      <c r="P56">
        <v>1</v>
      </c>
      <c r="Q56">
        <v>2</v>
      </c>
      <c r="R56">
        <v>1</v>
      </c>
      <c r="S56">
        <v>1</v>
      </c>
      <c r="T56">
        <v>1</v>
      </c>
      <c r="U56">
        <v>2</v>
      </c>
      <c r="V56">
        <v>1</v>
      </c>
      <c r="W56">
        <v>2</v>
      </c>
      <c r="X56">
        <v>2</v>
      </c>
      <c r="Y56">
        <v>1</v>
      </c>
      <c r="Z56">
        <v>2</v>
      </c>
      <c r="AA56">
        <v>2</v>
      </c>
      <c r="AB56">
        <v>2</v>
      </c>
      <c r="AC56">
        <v>1</v>
      </c>
      <c r="AD56">
        <v>1</v>
      </c>
      <c r="AE56">
        <v>2</v>
      </c>
      <c r="AF56">
        <v>2</v>
      </c>
      <c r="AG56">
        <v>2</v>
      </c>
      <c r="AH56">
        <v>1</v>
      </c>
      <c r="AI56">
        <v>1</v>
      </c>
    </row>
    <row r="57" spans="1:35" x14ac:dyDescent="0.25">
      <c r="A57" t="s">
        <v>349</v>
      </c>
      <c r="B57" t="s">
        <v>350</v>
      </c>
      <c r="C57" t="s">
        <v>351</v>
      </c>
      <c r="D57" t="s">
        <v>211</v>
      </c>
      <c r="E57" t="s">
        <v>352</v>
      </c>
      <c r="F57">
        <v>2</v>
      </c>
      <c r="G57">
        <v>3</v>
      </c>
      <c r="H57">
        <v>2</v>
      </c>
      <c r="I57">
        <v>3</v>
      </c>
      <c r="J57">
        <v>4</v>
      </c>
      <c r="K57">
        <v>1</v>
      </c>
      <c r="L57">
        <v>4</v>
      </c>
      <c r="M57">
        <v>3</v>
      </c>
      <c r="N57">
        <v>4</v>
      </c>
      <c r="O57">
        <v>3</v>
      </c>
      <c r="P57">
        <v>2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3</v>
      </c>
      <c r="X57">
        <v>5</v>
      </c>
      <c r="Y57">
        <v>3</v>
      </c>
      <c r="Z57">
        <v>4</v>
      </c>
      <c r="AA57">
        <v>3</v>
      </c>
      <c r="AB57">
        <v>5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5</v>
      </c>
      <c r="AI57">
        <v>4</v>
      </c>
    </row>
    <row r="58" spans="1:35" x14ac:dyDescent="0.25">
      <c r="A58" t="s">
        <v>353</v>
      </c>
      <c r="B58" t="s">
        <v>354</v>
      </c>
      <c r="C58" t="s">
        <v>355</v>
      </c>
      <c r="D58" t="s">
        <v>211</v>
      </c>
      <c r="E58" t="s">
        <v>356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2</v>
      </c>
      <c r="P58">
        <v>1</v>
      </c>
      <c r="Q58">
        <v>2</v>
      </c>
      <c r="R58">
        <v>3</v>
      </c>
      <c r="S58">
        <v>1</v>
      </c>
      <c r="T58">
        <v>3</v>
      </c>
      <c r="U58">
        <v>2</v>
      </c>
      <c r="V58">
        <v>1</v>
      </c>
      <c r="W58">
        <v>1</v>
      </c>
      <c r="X58">
        <v>1</v>
      </c>
      <c r="Y58">
        <v>1</v>
      </c>
      <c r="Z58">
        <v>2</v>
      </c>
      <c r="AA58">
        <v>4</v>
      </c>
      <c r="AB58">
        <v>1</v>
      </c>
      <c r="AC58">
        <v>1</v>
      </c>
      <c r="AD58">
        <v>1</v>
      </c>
      <c r="AE58">
        <v>1</v>
      </c>
      <c r="AF58">
        <v>4</v>
      </c>
      <c r="AG58">
        <v>1</v>
      </c>
      <c r="AH58">
        <v>1</v>
      </c>
      <c r="AI58">
        <v>1</v>
      </c>
    </row>
    <row r="59" spans="1:35" x14ac:dyDescent="0.25">
      <c r="A59" t="s">
        <v>357</v>
      </c>
      <c r="B59" t="s">
        <v>358</v>
      </c>
      <c r="C59" t="s">
        <v>359</v>
      </c>
      <c r="D59" t="s">
        <v>126</v>
      </c>
      <c r="E59" t="s">
        <v>360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7</v>
      </c>
      <c r="AD59">
        <v>1</v>
      </c>
      <c r="AE59">
        <v>1</v>
      </c>
      <c r="AF59">
        <v>1</v>
      </c>
      <c r="AG59">
        <v>4</v>
      </c>
      <c r="AH59">
        <v>1</v>
      </c>
      <c r="AI59">
        <v>1</v>
      </c>
    </row>
    <row r="60" spans="1:35" x14ac:dyDescent="0.25">
      <c r="A60" t="s">
        <v>361</v>
      </c>
      <c r="B60" t="s">
        <v>362</v>
      </c>
      <c r="C60" t="s">
        <v>363</v>
      </c>
      <c r="D60" t="s">
        <v>174</v>
      </c>
      <c r="E60" t="s">
        <v>137</v>
      </c>
      <c r="F60">
        <v>2</v>
      </c>
      <c r="G60">
        <v>2</v>
      </c>
      <c r="H60">
        <v>1</v>
      </c>
      <c r="I60">
        <v>2</v>
      </c>
      <c r="J60">
        <v>3</v>
      </c>
      <c r="K60">
        <v>1</v>
      </c>
      <c r="L60">
        <v>2</v>
      </c>
      <c r="M60">
        <v>1</v>
      </c>
      <c r="N60">
        <v>1</v>
      </c>
      <c r="O60">
        <v>2</v>
      </c>
      <c r="P60">
        <v>3</v>
      </c>
      <c r="Q60">
        <v>1</v>
      </c>
      <c r="R60">
        <v>2</v>
      </c>
      <c r="S60">
        <v>2</v>
      </c>
      <c r="T60">
        <v>2</v>
      </c>
      <c r="U60">
        <v>2</v>
      </c>
      <c r="V60">
        <v>2</v>
      </c>
      <c r="W60">
        <v>3</v>
      </c>
      <c r="X60">
        <v>3</v>
      </c>
      <c r="Y60">
        <v>4</v>
      </c>
      <c r="Z60">
        <v>2</v>
      </c>
      <c r="AA60">
        <v>3</v>
      </c>
      <c r="AB60">
        <v>2</v>
      </c>
      <c r="AC60">
        <v>2</v>
      </c>
      <c r="AD60">
        <v>2</v>
      </c>
      <c r="AE60">
        <v>2</v>
      </c>
      <c r="AF60">
        <v>4</v>
      </c>
      <c r="AG60">
        <v>2</v>
      </c>
      <c r="AH60">
        <v>3</v>
      </c>
      <c r="AI60">
        <v>1</v>
      </c>
    </row>
    <row r="61" spans="1:35" x14ac:dyDescent="0.25">
      <c r="A61" t="s">
        <v>364</v>
      </c>
      <c r="B61" t="s">
        <v>365</v>
      </c>
      <c r="C61" t="s">
        <v>366</v>
      </c>
      <c r="D61" t="s">
        <v>256</v>
      </c>
      <c r="E61" t="s">
        <v>137</v>
      </c>
      <c r="F61">
        <v>3</v>
      </c>
      <c r="G61">
        <v>2</v>
      </c>
      <c r="H61">
        <v>3</v>
      </c>
      <c r="I61">
        <v>2</v>
      </c>
      <c r="J61">
        <v>3</v>
      </c>
      <c r="K61">
        <v>4</v>
      </c>
      <c r="L61">
        <v>1</v>
      </c>
      <c r="M61">
        <v>1</v>
      </c>
      <c r="N61">
        <v>1</v>
      </c>
      <c r="O61">
        <v>2</v>
      </c>
      <c r="P61">
        <v>2</v>
      </c>
      <c r="Q61">
        <v>5</v>
      </c>
      <c r="R61">
        <v>2</v>
      </c>
      <c r="S61">
        <v>1</v>
      </c>
      <c r="T61">
        <v>3</v>
      </c>
      <c r="U61">
        <v>4</v>
      </c>
      <c r="V61">
        <v>1</v>
      </c>
      <c r="W61">
        <v>1</v>
      </c>
      <c r="X61">
        <v>1</v>
      </c>
      <c r="Y61">
        <v>1</v>
      </c>
      <c r="Z61">
        <v>2</v>
      </c>
      <c r="AA61">
        <v>3</v>
      </c>
      <c r="AB61">
        <v>3</v>
      </c>
      <c r="AC61">
        <v>4</v>
      </c>
      <c r="AD61">
        <v>2</v>
      </c>
      <c r="AE61">
        <v>2</v>
      </c>
      <c r="AF61">
        <v>4</v>
      </c>
      <c r="AG61">
        <v>1</v>
      </c>
      <c r="AH61">
        <v>3</v>
      </c>
      <c r="AI61">
        <v>4</v>
      </c>
    </row>
    <row r="62" spans="1:35" x14ac:dyDescent="0.25">
      <c r="A62" t="s">
        <v>367</v>
      </c>
      <c r="B62" t="s">
        <v>368</v>
      </c>
      <c r="C62" t="s">
        <v>369</v>
      </c>
      <c r="D62" t="s">
        <v>370</v>
      </c>
      <c r="E62" t="s">
        <v>371</v>
      </c>
      <c r="F62">
        <v>3</v>
      </c>
      <c r="G62">
        <v>1</v>
      </c>
      <c r="H62">
        <v>3</v>
      </c>
      <c r="I62">
        <v>2</v>
      </c>
      <c r="J62">
        <v>1</v>
      </c>
      <c r="K62">
        <v>4</v>
      </c>
      <c r="L62">
        <v>2</v>
      </c>
      <c r="M62">
        <v>1</v>
      </c>
      <c r="N62">
        <v>1</v>
      </c>
      <c r="O62">
        <v>1</v>
      </c>
      <c r="P62">
        <v>1</v>
      </c>
      <c r="Q62">
        <v>4</v>
      </c>
      <c r="R62">
        <v>1</v>
      </c>
      <c r="S62">
        <v>5</v>
      </c>
      <c r="T62">
        <v>1</v>
      </c>
      <c r="U62">
        <v>2</v>
      </c>
      <c r="V62">
        <v>1</v>
      </c>
      <c r="W62">
        <v>1</v>
      </c>
      <c r="X62">
        <v>1</v>
      </c>
      <c r="Y62">
        <v>1</v>
      </c>
      <c r="Z62">
        <v>2</v>
      </c>
      <c r="AA62">
        <v>1</v>
      </c>
      <c r="AB62">
        <v>2</v>
      </c>
      <c r="AC62">
        <v>2</v>
      </c>
      <c r="AD62">
        <v>1</v>
      </c>
      <c r="AE62">
        <v>1</v>
      </c>
      <c r="AF62">
        <v>2</v>
      </c>
      <c r="AG62">
        <v>1</v>
      </c>
      <c r="AH62">
        <v>1</v>
      </c>
      <c r="AI62">
        <v>1</v>
      </c>
    </row>
    <row r="63" spans="1:35" x14ac:dyDescent="0.25">
      <c r="A63" t="s">
        <v>372</v>
      </c>
      <c r="B63" t="s">
        <v>373</v>
      </c>
      <c r="C63" t="s">
        <v>374</v>
      </c>
      <c r="D63" t="s">
        <v>256</v>
      </c>
      <c r="E63" t="s">
        <v>137</v>
      </c>
      <c r="F63">
        <v>1</v>
      </c>
      <c r="G63">
        <v>2</v>
      </c>
      <c r="H63">
        <v>2</v>
      </c>
      <c r="I63">
        <v>1</v>
      </c>
      <c r="J63">
        <v>1</v>
      </c>
      <c r="K63">
        <v>1</v>
      </c>
      <c r="L63">
        <v>1</v>
      </c>
      <c r="M63">
        <v>1</v>
      </c>
      <c r="N63">
        <v>2</v>
      </c>
      <c r="O63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1</v>
      </c>
      <c r="X63">
        <v>1</v>
      </c>
      <c r="Y63">
        <v>1</v>
      </c>
      <c r="Z63">
        <v>3</v>
      </c>
      <c r="AA63">
        <v>3</v>
      </c>
      <c r="AB63">
        <v>2</v>
      </c>
      <c r="AC63">
        <v>2</v>
      </c>
      <c r="AD63">
        <v>2</v>
      </c>
      <c r="AE63">
        <v>2</v>
      </c>
      <c r="AF63">
        <v>4</v>
      </c>
      <c r="AG63">
        <v>3</v>
      </c>
      <c r="AH63">
        <v>4</v>
      </c>
      <c r="AI63">
        <v>1</v>
      </c>
    </row>
    <row r="64" spans="1:35" x14ac:dyDescent="0.25">
      <c r="A64" t="s">
        <v>375</v>
      </c>
      <c r="B64" t="s">
        <v>376</v>
      </c>
      <c r="C64" t="s">
        <v>377</v>
      </c>
      <c r="D64" t="s">
        <v>211</v>
      </c>
      <c r="E64" t="s">
        <v>352</v>
      </c>
      <c r="F64">
        <v>3</v>
      </c>
      <c r="G64">
        <v>1</v>
      </c>
      <c r="H64">
        <v>1</v>
      </c>
      <c r="I64">
        <v>1</v>
      </c>
      <c r="J64">
        <v>3</v>
      </c>
      <c r="K64">
        <v>1</v>
      </c>
      <c r="L64">
        <v>1</v>
      </c>
      <c r="M64">
        <v>1</v>
      </c>
      <c r="N64">
        <v>1</v>
      </c>
      <c r="O64">
        <v>1</v>
      </c>
      <c r="P64">
        <v>2</v>
      </c>
      <c r="Q64">
        <v>1</v>
      </c>
      <c r="R64">
        <v>1</v>
      </c>
      <c r="S64">
        <v>1</v>
      </c>
      <c r="T64">
        <v>4</v>
      </c>
      <c r="U64">
        <v>4</v>
      </c>
      <c r="V64">
        <v>1</v>
      </c>
      <c r="W64">
        <v>1</v>
      </c>
      <c r="X64">
        <v>1</v>
      </c>
      <c r="Y64">
        <v>2</v>
      </c>
      <c r="Z64">
        <v>4</v>
      </c>
      <c r="AA64">
        <v>4</v>
      </c>
      <c r="AB64">
        <v>2</v>
      </c>
      <c r="AC64">
        <v>2</v>
      </c>
      <c r="AD64">
        <v>1</v>
      </c>
      <c r="AE64">
        <v>4</v>
      </c>
      <c r="AF64">
        <v>2</v>
      </c>
      <c r="AG64">
        <v>3</v>
      </c>
      <c r="AH64">
        <v>4</v>
      </c>
      <c r="AI64">
        <v>1</v>
      </c>
    </row>
    <row r="65" spans="1:35" x14ac:dyDescent="0.25">
      <c r="A65" t="s">
        <v>378</v>
      </c>
      <c r="B65" t="s">
        <v>379</v>
      </c>
      <c r="C65" t="s">
        <v>380</v>
      </c>
      <c r="D65" t="s">
        <v>174</v>
      </c>
      <c r="E65" t="s">
        <v>137</v>
      </c>
      <c r="F65">
        <v>1</v>
      </c>
      <c r="G65">
        <v>1</v>
      </c>
      <c r="H65">
        <v>2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2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2</v>
      </c>
      <c r="AB65">
        <v>1</v>
      </c>
      <c r="AC65">
        <v>1</v>
      </c>
      <c r="AD65">
        <v>1</v>
      </c>
      <c r="AE65">
        <v>1</v>
      </c>
      <c r="AF65">
        <v>3</v>
      </c>
      <c r="AG65">
        <v>1</v>
      </c>
      <c r="AH65">
        <v>2</v>
      </c>
      <c r="AI65">
        <v>1</v>
      </c>
    </row>
    <row r="66" spans="1:35" x14ac:dyDescent="0.25">
      <c r="A66" t="s">
        <v>381</v>
      </c>
      <c r="B66" t="s">
        <v>382</v>
      </c>
      <c r="C66" t="s">
        <v>383</v>
      </c>
      <c r="D66" t="s">
        <v>384</v>
      </c>
      <c r="E66" t="s">
        <v>385</v>
      </c>
      <c r="F66">
        <v>1</v>
      </c>
      <c r="G66">
        <v>1</v>
      </c>
      <c r="H66">
        <v>4</v>
      </c>
      <c r="I66">
        <v>1</v>
      </c>
      <c r="J66">
        <v>2</v>
      </c>
      <c r="K66">
        <v>1</v>
      </c>
      <c r="L66">
        <v>1</v>
      </c>
      <c r="M66">
        <v>2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3</v>
      </c>
      <c r="U66">
        <v>3</v>
      </c>
      <c r="V66">
        <v>1</v>
      </c>
      <c r="W66">
        <v>1</v>
      </c>
      <c r="X66">
        <v>1</v>
      </c>
      <c r="Y66">
        <v>1</v>
      </c>
      <c r="Z66">
        <v>3</v>
      </c>
      <c r="AA66">
        <v>3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25">
      <c r="A67" t="s">
        <v>386</v>
      </c>
      <c r="B67" t="s">
        <v>387</v>
      </c>
      <c r="C67" t="s">
        <v>388</v>
      </c>
      <c r="D67" t="s">
        <v>211</v>
      </c>
      <c r="E67" t="s">
        <v>389</v>
      </c>
      <c r="F67">
        <v>1</v>
      </c>
      <c r="G67">
        <v>1</v>
      </c>
      <c r="H67">
        <v>1</v>
      </c>
      <c r="I67">
        <v>2</v>
      </c>
      <c r="J67">
        <v>3</v>
      </c>
      <c r="K67">
        <v>4</v>
      </c>
      <c r="L67">
        <v>1</v>
      </c>
      <c r="M67">
        <v>1</v>
      </c>
      <c r="N67">
        <v>2</v>
      </c>
      <c r="O67">
        <v>2</v>
      </c>
      <c r="P67">
        <v>2</v>
      </c>
      <c r="Q67">
        <v>7</v>
      </c>
      <c r="R67">
        <v>1</v>
      </c>
      <c r="S67">
        <v>2</v>
      </c>
      <c r="T67">
        <v>3</v>
      </c>
      <c r="U67">
        <v>4</v>
      </c>
      <c r="V67">
        <v>1</v>
      </c>
      <c r="W67">
        <v>4</v>
      </c>
      <c r="X67">
        <v>1</v>
      </c>
      <c r="Y67">
        <v>2</v>
      </c>
      <c r="Z67">
        <v>3</v>
      </c>
      <c r="AA67">
        <v>2</v>
      </c>
      <c r="AB67">
        <v>1</v>
      </c>
      <c r="AC67">
        <v>3</v>
      </c>
      <c r="AD67">
        <v>1</v>
      </c>
      <c r="AE67">
        <v>1</v>
      </c>
      <c r="AF67">
        <v>3</v>
      </c>
      <c r="AG67">
        <v>1</v>
      </c>
      <c r="AH67">
        <v>2</v>
      </c>
      <c r="AI67">
        <v>2</v>
      </c>
    </row>
    <row r="68" spans="1:35" x14ac:dyDescent="0.25">
      <c r="A68" t="s">
        <v>390</v>
      </c>
      <c r="B68" t="s">
        <v>391</v>
      </c>
      <c r="C68" t="s">
        <v>392</v>
      </c>
      <c r="D68" t="s">
        <v>67</v>
      </c>
      <c r="E68" t="s">
        <v>393</v>
      </c>
      <c r="F68">
        <v>2</v>
      </c>
      <c r="G68">
        <v>1</v>
      </c>
      <c r="H68">
        <v>1</v>
      </c>
      <c r="I68">
        <v>2</v>
      </c>
      <c r="J68">
        <v>1</v>
      </c>
      <c r="K68">
        <v>2</v>
      </c>
      <c r="L68">
        <v>1</v>
      </c>
      <c r="M68">
        <v>1</v>
      </c>
      <c r="N68">
        <v>1</v>
      </c>
      <c r="O68">
        <v>2</v>
      </c>
      <c r="P68">
        <v>1</v>
      </c>
      <c r="Q68">
        <v>2</v>
      </c>
      <c r="R68">
        <v>1</v>
      </c>
      <c r="S68">
        <v>2</v>
      </c>
      <c r="T68">
        <v>2</v>
      </c>
      <c r="U68">
        <v>4</v>
      </c>
      <c r="V68">
        <v>1</v>
      </c>
      <c r="W68">
        <v>1</v>
      </c>
      <c r="X68">
        <v>2</v>
      </c>
      <c r="Y68">
        <v>1</v>
      </c>
      <c r="Z68">
        <v>2</v>
      </c>
      <c r="AA68">
        <v>2</v>
      </c>
      <c r="AB68">
        <v>2</v>
      </c>
      <c r="AC68">
        <v>3</v>
      </c>
      <c r="AD68">
        <v>1</v>
      </c>
      <c r="AE68">
        <v>1</v>
      </c>
      <c r="AF68">
        <v>2</v>
      </c>
      <c r="AG68">
        <v>4</v>
      </c>
      <c r="AH68">
        <v>2</v>
      </c>
      <c r="AI68">
        <v>1</v>
      </c>
    </row>
    <row r="69" spans="1:35" x14ac:dyDescent="0.25">
      <c r="A69" t="s">
        <v>394</v>
      </c>
      <c r="B69" t="s">
        <v>395</v>
      </c>
      <c r="C69" t="s">
        <v>396</v>
      </c>
      <c r="D69" t="s">
        <v>397</v>
      </c>
      <c r="E69" t="s">
        <v>137</v>
      </c>
      <c r="F69">
        <v>5</v>
      </c>
      <c r="G69">
        <v>4</v>
      </c>
      <c r="H69">
        <v>4</v>
      </c>
      <c r="I69">
        <v>4</v>
      </c>
      <c r="J69">
        <v>4</v>
      </c>
      <c r="K69">
        <v>1</v>
      </c>
      <c r="L69">
        <v>5</v>
      </c>
      <c r="M69">
        <v>4</v>
      </c>
      <c r="N69">
        <v>4</v>
      </c>
      <c r="O69">
        <v>4</v>
      </c>
      <c r="P69">
        <v>6</v>
      </c>
      <c r="Q69">
        <v>5</v>
      </c>
      <c r="R69">
        <v>4</v>
      </c>
      <c r="S69">
        <v>3</v>
      </c>
      <c r="T69">
        <v>6</v>
      </c>
      <c r="U69">
        <v>5</v>
      </c>
      <c r="V69">
        <v>3</v>
      </c>
      <c r="W69">
        <v>4</v>
      </c>
      <c r="X69">
        <v>1</v>
      </c>
      <c r="Y69">
        <v>4</v>
      </c>
      <c r="Z69">
        <v>6</v>
      </c>
      <c r="AA69">
        <v>5</v>
      </c>
      <c r="AB69">
        <v>4</v>
      </c>
      <c r="AC69">
        <v>4</v>
      </c>
      <c r="AD69">
        <v>4</v>
      </c>
      <c r="AE69">
        <v>4</v>
      </c>
      <c r="AF69">
        <v>7</v>
      </c>
      <c r="AG69">
        <v>4</v>
      </c>
      <c r="AH69">
        <v>4</v>
      </c>
      <c r="AI69">
        <v>1</v>
      </c>
    </row>
    <row r="70" spans="1:35" x14ac:dyDescent="0.25">
      <c r="A70" t="s">
        <v>398</v>
      </c>
      <c r="B70" t="s">
        <v>399</v>
      </c>
      <c r="C70" t="s">
        <v>400</v>
      </c>
      <c r="D70" t="s">
        <v>126</v>
      </c>
      <c r="E70" t="s">
        <v>127</v>
      </c>
      <c r="F70">
        <v>4</v>
      </c>
      <c r="G70">
        <v>4</v>
      </c>
      <c r="H70">
        <v>2</v>
      </c>
      <c r="I70">
        <v>2</v>
      </c>
      <c r="J70">
        <v>2</v>
      </c>
      <c r="K70">
        <v>4</v>
      </c>
      <c r="L70">
        <v>1</v>
      </c>
      <c r="M70">
        <v>2</v>
      </c>
      <c r="N70">
        <v>5</v>
      </c>
      <c r="O70">
        <v>3</v>
      </c>
      <c r="P70">
        <v>1</v>
      </c>
      <c r="Q70">
        <v>4</v>
      </c>
      <c r="R70">
        <v>1</v>
      </c>
      <c r="S70">
        <v>3</v>
      </c>
      <c r="T70">
        <v>3</v>
      </c>
      <c r="U70">
        <v>2</v>
      </c>
      <c r="V70">
        <v>5</v>
      </c>
      <c r="W70">
        <v>2</v>
      </c>
      <c r="X70">
        <v>1</v>
      </c>
      <c r="Y70">
        <v>4</v>
      </c>
      <c r="Z70">
        <v>4</v>
      </c>
      <c r="AA70">
        <v>3</v>
      </c>
      <c r="AB70">
        <v>6</v>
      </c>
      <c r="AC70">
        <v>3</v>
      </c>
      <c r="AD70">
        <v>3</v>
      </c>
      <c r="AE70">
        <v>6</v>
      </c>
      <c r="AF70">
        <v>2</v>
      </c>
      <c r="AG70">
        <v>1</v>
      </c>
      <c r="AH70">
        <v>6</v>
      </c>
      <c r="AI70">
        <v>4</v>
      </c>
    </row>
    <row r="71" spans="1:35" x14ac:dyDescent="0.25">
      <c r="A71" t="s">
        <v>401</v>
      </c>
      <c r="B71" t="s">
        <v>402</v>
      </c>
      <c r="C71" t="s">
        <v>403</v>
      </c>
      <c r="D71" t="s">
        <v>404</v>
      </c>
      <c r="E71" t="s">
        <v>405</v>
      </c>
      <c r="F71">
        <v>3</v>
      </c>
      <c r="G71">
        <v>2</v>
      </c>
      <c r="H71">
        <v>4</v>
      </c>
      <c r="I71">
        <v>4</v>
      </c>
      <c r="J71">
        <v>2</v>
      </c>
      <c r="K71">
        <v>5</v>
      </c>
      <c r="L71">
        <v>2</v>
      </c>
      <c r="M71">
        <v>3</v>
      </c>
      <c r="N71">
        <v>3</v>
      </c>
      <c r="O71">
        <v>3</v>
      </c>
      <c r="P71">
        <v>1</v>
      </c>
      <c r="Q71">
        <v>5</v>
      </c>
      <c r="R71">
        <v>3</v>
      </c>
      <c r="S71">
        <v>4</v>
      </c>
      <c r="T71">
        <v>3</v>
      </c>
      <c r="U71">
        <v>4</v>
      </c>
      <c r="V71">
        <v>3</v>
      </c>
      <c r="W71">
        <v>5</v>
      </c>
      <c r="X71">
        <v>5</v>
      </c>
      <c r="Y71">
        <v>3</v>
      </c>
      <c r="Z71">
        <v>3</v>
      </c>
      <c r="AA71">
        <v>3</v>
      </c>
      <c r="AB71">
        <v>3</v>
      </c>
      <c r="AC71">
        <v>4</v>
      </c>
      <c r="AD71">
        <v>3</v>
      </c>
      <c r="AE71">
        <v>4</v>
      </c>
      <c r="AF71">
        <v>4</v>
      </c>
      <c r="AG71">
        <v>3</v>
      </c>
      <c r="AH71">
        <v>3</v>
      </c>
      <c r="AI71">
        <v>5</v>
      </c>
    </row>
    <row r="72" spans="1:35" x14ac:dyDescent="0.25">
      <c r="A72" t="s">
        <v>406</v>
      </c>
      <c r="B72" t="s">
        <v>407</v>
      </c>
      <c r="C72" t="s">
        <v>408</v>
      </c>
      <c r="D72" t="s">
        <v>409</v>
      </c>
      <c r="E72" t="s">
        <v>371</v>
      </c>
      <c r="F72">
        <v>1</v>
      </c>
      <c r="G72">
        <v>2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3</v>
      </c>
      <c r="O72">
        <v>1</v>
      </c>
      <c r="P72">
        <v>2</v>
      </c>
      <c r="Q72">
        <v>2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4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2</v>
      </c>
      <c r="AF72">
        <v>1</v>
      </c>
      <c r="AG72">
        <v>1</v>
      </c>
      <c r="AH72">
        <v>2</v>
      </c>
      <c r="AI72">
        <v>1</v>
      </c>
    </row>
    <row r="73" spans="1:35" x14ac:dyDescent="0.25">
      <c r="A73" t="s">
        <v>410</v>
      </c>
      <c r="B73" t="s">
        <v>411</v>
      </c>
      <c r="C73" t="s">
        <v>412</v>
      </c>
      <c r="D73" t="s">
        <v>413</v>
      </c>
      <c r="E73" t="s">
        <v>414</v>
      </c>
      <c r="F73">
        <v>3</v>
      </c>
      <c r="G73">
        <v>1</v>
      </c>
      <c r="H73">
        <v>3</v>
      </c>
      <c r="I73">
        <v>3</v>
      </c>
      <c r="J73">
        <v>1</v>
      </c>
      <c r="K73">
        <v>6</v>
      </c>
      <c r="L73">
        <v>1</v>
      </c>
      <c r="M73">
        <v>2</v>
      </c>
      <c r="N73">
        <v>1</v>
      </c>
      <c r="O73">
        <v>2</v>
      </c>
      <c r="P73">
        <v>4</v>
      </c>
      <c r="Q73">
        <v>4</v>
      </c>
      <c r="R73">
        <v>1</v>
      </c>
      <c r="S73">
        <v>1</v>
      </c>
      <c r="T73">
        <v>2</v>
      </c>
      <c r="U73">
        <v>2</v>
      </c>
      <c r="V73">
        <v>1</v>
      </c>
      <c r="W73">
        <v>4</v>
      </c>
      <c r="X73">
        <v>1</v>
      </c>
      <c r="Y73">
        <v>2</v>
      </c>
      <c r="Z73">
        <v>3</v>
      </c>
      <c r="AA73">
        <v>4</v>
      </c>
      <c r="AB73">
        <v>1</v>
      </c>
      <c r="AC73">
        <v>5</v>
      </c>
      <c r="AD73">
        <v>1</v>
      </c>
      <c r="AE73">
        <v>2</v>
      </c>
      <c r="AF73">
        <v>2</v>
      </c>
      <c r="AG73">
        <v>2</v>
      </c>
      <c r="AH73">
        <v>1</v>
      </c>
      <c r="AI73">
        <v>5</v>
      </c>
    </row>
    <row r="74" spans="1:35" x14ac:dyDescent="0.25">
      <c r="A74" t="s">
        <v>415</v>
      </c>
      <c r="B74" t="s">
        <v>416</v>
      </c>
      <c r="C74" t="s">
        <v>417</v>
      </c>
      <c r="D74" t="s">
        <v>418</v>
      </c>
      <c r="E74" t="s">
        <v>194</v>
      </c>
      <c r="F74">
        <v>1</v>
      </c>
      <c r="G74">
        <v>3</v>
      </c>
      <c r="H74">
        <v>5</v>
      </c>
      <c r="I74">
        <v>1</v>
      </c>
      <c r="J74">
        <v>1</v>
      </c>
      <c r="K74">
        <v>4</v>
      </c>
      <c r="L74">
        <v>1</v>
      </c>
      <c r="M74">
        <v>1</v>
      </c>
      <c r="N74">
        <v>1</v>
      </c>
      <c r="O74">
        <v>4</v>
      </c>
      <c r="P74">
        <v>1</v>
      </c>
      <c r="Q74">
        <v>6</v>
      </c>
      <c r="R74">
        <v>1</v>
      </c>
      <c r="S74">
        <v>1</v>
      </c>
      <c r="T74">
        <v>4</v>
      </c>
      <c r="U74">
        <v>5</v>
      </c>
      <c r="V74">
        <v>1</v>
      </c>
      <c r="W74">
        <v>1</v>
      </c>
      <c r="X74">
        <v>1</v>
      </c>
      <c r="Y74">
        <v>1</v>
      </c>
      <c r="Z74">
        <v>5</v>
      </c>
      <c r="AA74">
        <v>5</v>
      </c>
      <c r="AB74">
        <v>5</v>
      </c>
      <c r="AC74">
        <v>7</v>
      </c>
      <c r="AD74">
        <v>1</v>
      </c>
      <c r="AE74">
        <v>7</v>
      </c>
      <c r="AF74">
        <v>5</v>
      </c>
      <c r="AG74">
        <v>5</v>
      </c>
      <c r="AH74">
        <v>1</v>
      </c>
      <c r="AI74">
        <v>2</v>
      </c>
    </row>
    <row r="75" spans="1:35" x14ac:dyDescent="0.25">
      <c r="A75" t="s">
        <v>419</v>
      </c>
      <c r="B75" t="s">
        <v>420</v>
      </c>
      <c r="C75" t="s">
        <v>421</v>
      </c>
      <c r="D75" t="s">
        <v>211</v>
      </c>
      <c r="E75" t="s">
        <v>422</v>
      </c>
      <c r="F75">
        <v>2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2</v>
      </c>
      <c r="P75">
        <v>1</v>
      </c>
      <c r="Q75">
        <v>1</v>
      </c>
      <c r="R75">
        <v>1</v>
      </c>
      <c r="S75">
        <v>1</v>
      </c>
      <c r="T75">
        <v>6</v>
      </c>
      <c r="U75">
        <v>4</v>
      </c>
      <c r="V75">
        <v>1</v>
      </c>
      <c r="W75">
        <v>1</v>
      </c>
      <c r="X75">
        <v>1</v>
      </c>
      <c r="Y75">
        <v>2</v>
      </c>
      <c r="Z75">
        <v>3</v>
      </c>
      <c r="AA75">
        <v>4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2</v>
      </c>
      <c r="AH75">
        <v>1</v>
      </c>
      <c r="AI75">
        <v>1</v>
      </c>
    </row>
    <row r="76" spans="1:35" x14ac:dyDescent="0.25">
      <c r="A76" t="s">
        <v>423</v>
      </c>
      <c r="B76" t="s">
        <v>424</v>
      </c>
      <c r="C76" t="s">
        <v>425</v>
      </c>
      <c r="D76" t="s">
        <v>169</v>
      </c>
      <c r="E76" t="s">
        <v>426</v>
      </c>
      <c r="F76">
        <v>2</v>
      </c>
      <c r="G76">
        <v>2</v>
      </c>
      <c r="H76">
        <v>2</v>
      </c>
      <c r="I76">
        <v>3</v>
      </c>
      <c r="J76">
        <v>2</v>
      </c>
      <c r="K76">
        <v>4</v>
      </c>
      <c r="L76">
        <v>1</v>
      </c>
      <c r="M76">
        <v>1</v>
      </c>
      <c r="N76">
        <v>1</v>
      </c>
      <c r="O76">
        <v>3</v>
      </c>
      <c r="P76">
        <v>1</v>
      </c>
      <c r="Q76">
        <v>7</v>
      </c>
      <c r="R76">
        <v>1</v>
      </c>
      <c r="S76">
        <v>2</v>
      </c>
      <c r="T76">
        <v>2</v>
      </c>
      <c r="U76">
        <v>4</v>
      </c>
      <c r="V76">
        <v>3</v>
      </c>
      <c r="W76">
        <v>1</v>
      </c>
      <c r="X76">
        <v>7</v>
      </c>
      <c r="Y76">
        <v>2</v>
      </c>
      <c r="Z76">
        <v>4</v>
      </c>
      <c r="AA76">
        <v>2</v>
      </c>
      <c r="AB76">
        <v>4</v>
      </c>
      <c r="AC76">
        <v>2</v>
      </c>
      <c r="AD76">
        <v>2</v>
      </c>
      <c r="AE76">
        <v>1</v>
      </c>
      <c r="AF76">
        <v>2</v>
      </c>
      <c r="AG76">
        <v>2</v>
      </c>
      <c r="AH76">
        <v>4</v>
      </c>
      <c r="AI76">
        <v>1</v>
      </c>
    </row>
    <row r="77" spans="1:35" x14ac:dyDescent="0.25">
      <c r="A77" t="s">
        <v>427</v>
      </c>
      <c r="B77" t="s">
        <v>428</v>
      </c>
      <c r="C77" t="s">
        <v>429</v>
      </c>
      <c r="D77" t="s">
        <v>430</v>
      </c>
      <c r="E77" t="s">
        <v>431</v>
      </c>
      <c r="F77">
        <v>1</v>
      </c>
      <c r="G77">
        <v>1</v>
      </c>
      <c r="H77">
        <v>1</v>
      </c>
      <c r="I77">
        <v>7</v>
      </c>
      <c r="J77">
        <v>7</v>
      </c>
      <c r="K77">
        <v>7</v>
      </c>
      <c r="L77">
        <v>1</v>
      </c>
      <c r="M77">
        <v>1</v>
      </c>
      <c r="N77">
        <v>1</v>
      </c>
      <c r="O77">
        <v>7</v>
      </c>
      <c r="P77">
        <v>1</v>
      </c>
      <c r="Q77">
        <v>7</v>
      </c>
      <c r="R77">
        <v>7</v>
      </c>
      <c r="S77">
        <v>1</v>
      </c>
      <c r="T77">
        <v>7</v>
      </c>
      <c r="U77">
        <v>7</v>
      </c>
      <c r="V77">
        <v>7</v>
      </c>
      <c r="W77">
        <v>7</v>
      </c>
      <c r="X77">
        <v>1</v>
      </c>
      <c r="Y77">
        <v>7</v>
      </c>
      <c r="Z77">
        <v>7</v>
      </c>
      <c r="AA77">
        <v>7</v>
      </c>
      <c r="AB77">
        <v>7</v>
      </c>
      <c r="AC77">
        <v>1</v>
      </c>
      <c r="AD77">
        <v>1</v>
      </c>
      <c r="AE77">
        <v>7</v>
      </c>
      <c r="AF77">
        <v>7</v>
      </c>
      <c r="AG77">
        <v>1</v>
      </c>
      <c r="AH77">
        <v>7</v>
      </c>
      <c r="AI77">
        <v>7</v>
      </c>
    </row>
    <row r="78" spans="1:35" x14ac:dyDescent="0.25">
      <c r="A78" t="s">
        <v>432</v>
      </c>
      <c r="B78" t="s">
        <v>433</v>
      </c>
      <c r="C78" t="s">
        <v>434</v>
      </c>
      <c r="D78" t="s">
        <v>183</v>
      </c>
      <c r="E78" t="s">
        <v>231</v>
      </c>
      <c r="F78">
        <v>1</v>
      </c>
      <c r="G78">
        <v>1</v>
      </c>
      <c r="H78">
        <v>2</v>
      </c>
      <c r="I78">
        <v>1</v>
      </c>
      <c r="J78">
        <v>1</v>
      </c>
      <c r="K78">
        <v>2</v>
      </c>
      <c r="L78">
        <v>1</v>
      </c>
      <c r="M78">
        <v>1</v>
      </c>
      <c r="N78">
        <v>1</v>
      </c>
      <c r="O78">
        <v>1</v>
      </c>
      <c r="P78">
        <v>1</v>
      </c>
      <c r="Q78">
        <v>3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3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2</v>
      </c>
      <c r="AH78">
        <v>2</v>
      </c>
      <c r="AI78">
        <v>2</v>
      </c>
    </row>
    <row r="79" spans="1:35" x14ac:dyDescent="0.25">
      <c r="A79" t="s">
        <v>435</v>
      </c>
      <c r="B79" t="s">
        <v>436</v>
      </c>
      <c r="C79" t="s">
        <v>437</v>
      </c>
      <c r="D79" t="s">
        <v>141</v>
      </c>
      <c r="E79" t="s">
        <v>142</v>
      </c>
      <c r="F79">
        <v>5</v>
      </c>
      <c r="G79">
        <v>3</v>
      </c>
      <c r="H79">
        <v>4</v>
      </c>
      <c r="I79">
        <v>3</v>
      </c>
      <c r="J79">
        <v>3</v>
      </c>
      <c r="K79">
        <v>3</v>
      </c>
      <c r="L79">
        <v>2</v>
      </c>
      <c r="M79">
        <v>2</v>
      </c>
      <c r="N79">
        <v>2</v>
      </c>
      <c r="O79">
        <v>3</v>
      </c>
      <c r="P79">
        <v>3</v>
      </c>
      <c r="Q79">
        <v>4</v>
      </c>
      <c r="R79">
        <v>2</v>
      </c>
      <c r="S79">
        <v>2</v>
      </c>
      <c r="T79">
        <v>2</v>
      </c>
      <c r="U79">
        <v>4</v>
      </c>
      <c r="V79">
        <v>2</v>
      </c>
      <c r="W79">
        <v>5</v>
      </c>
      <c r="X79">
        <v>2</v>
      </c>
      <c r="Y79">
        <v>3</v>
      </c>
      <c r="Z79">
        <v>4</v>
      </c>
      <c r="AA79">
        <v>3</v>
      </c>
      <c r="AB79">
        <v>3</v>
      </c>
      <c r="AC79">
        <v>4</v>
      </c>
      <c r="AD79">
        <v>2</v>
      </c>
      <c r="AE79">
        <v>2</v>
      </c>
      <c r="AF79">
        <v>3</v>
      </c>
      <c r="AG79">
        <v>3</v>
      </c>
      <c r="AH79">
        <v>3</v>
      </c>
      <c r="AI79">
        <v>2</v>
      </c>
    </row>
    <row r="80" spans="1:35" x14ac:dyDescent="0.25">
      <c r="A80" t="s">
        <v>438</v>
      </c>
      <c r="B80" t="s">
        <v>439</v>
      </c>
      <c r="C80" t="s">
        <v>440</v>
      </c>
      <c r="D80" t="s">
        <v>211</v>
      </c>
      <c r="E80" t="s">
        <v>212</v>
      </c>
      <c r="F80">
        <v>1</v>
      </c>
      <c r="G80">
        <v>1</v>
      </c>
      <c r="H80">
        <v>2</v>
      </c>
      <c r="I80">
        <v>2</v>
      </c>
      <c r="J80">
        <v>1</v>
      </c>
      <c r="K80">
        <v>2</v>
      </c>
      <c r="L80">
        <v>1</v>
      </c>
      <c r="M80">
        <v>1</v>
      </c>
      <c r="N80">
        <v>1</v>
      </c>
      <c r="O80">
        <v>1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1</v>
      </c>
      <c r="W80">
        <v>2</v>
      </c>
      <c r="X80">
        <v>1</v>
      </c>
      <c r="Y80">
        <v>2</v>
      </c>
      <c r="Z80">
        <v>2</v>
      </c>
      <c r="AA80">
        <v>2</v>
      </c>
      <c r="AB80">
        <v>2</v>
      </c>
      <c r="AC80">
        <v>2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</row>
    <row r="81" spans="1:35" x14ac:dyDescent="0.25">
      <c r="A81" t="s">
        <v>441</v>
      </c>
      <c r="B81" t="s">
        <v>442</v>
      </c>
      <c r="C81" t="s">
        <v>443</v>
      </c>
      <c r="D81" t="s">
        <v>444</v>
      </c>
      <c r="E81" t="s">
        <v>405</v>
      </c>
      <c r="F81">
        <v>1</v>
      </c>
      <c r="G81">
        <v>1</v>
      </c>
      <c r="H81">
        <v>4</v>
      </c>
      <c r="I81">
        <v>1</v>
      </c>
      <c r="J81">
        <v>1</v>
      </c>
      <c r="K81">
        <v>4</v>
      </c>
      <c r="L81">
        <v>1</v>
      </c>
      <c r="M81">
        <v>1</v>
      </c>
      <c r="N81">
        <v>1</v>
      </c>
      <c r="O81">
        <v>1</v>
      </c>
      <c r="P81">
        <v>1</v>
      </c>
      <c r="Q81">
        <v>7</v>
      </c>
      <c r="R81">
        <v>1</v>
      </c>
      <c r="S81">
        <v>1</v>
      </c>
      <c r="T81">
        <v>4</v>
      </c>
      <c r="U81">
        <v>1</v>
      </c>
      <c r="V81">
        <v>1</v>
      </c>
      <c r="W81">
        <v>4</v>
      </c>
      <c r="X81">
        <v>1</v>
      </c>
      <c r="Y81">
        <v>1</v>
      </c>
      <c r="Z81">
        <v>1</v>
      </c>
      <c r="AA81">
        <v>4</v>
      </c>
      <c r="AB81">
        <v>1</v>
      </c>
      <c r="AC81">
        <v>4</v>
      </c>
      <c r="AD81">
        <v>1</v>
      </c>
      <c r="AE81">
        <v>2</v>
      </c>
      <c r="AF81">
        <v>1</v>
      </c>
      <c r="AG81">
        <v>1</v>
      </c>
      <c r="AH81">
        <v>1</v>
      </c>
      <c r="AI81">
        <v>2</v>
      </c>
    </row>
    <row r="82" spans="1:35" x14ac:dyDescent="0.25">
      <c r="A82" t="s">
        <v>445</v>
      </c>
      <c r="B82" t="s">
        <v>446</v>
      </c>
      <c r="C82" t="s">
        <v>447</v>
      </c>
      <c r="D82" t="s">
        <v>178</v>
      </c>
      <c r="E82" t="s">
        <v>448</v>
      </c>
      <c r="F82">
        <v>1</v>
      </c>
      <c r="G82">
        <v>1</v>
      </c>
      <c r="H82">
        <v>1</v>
      </c>
      <c r="I82">
        <v>1</v>
      </c>
      <c r="J82">
        <v>1</v>
      </c>
      <c r="K82">
        <v>4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6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25">
      <c r="A83" t="s">
        <v>450</v>
      </c>
      <c r="B83" t="s">
        <v>451</v>
      </c>
      <c r="C83" t="s">
        <v>452</v>
      </c>
      <c r="D83" t="s">
        <v>453</v>
      </c>
      <c r="E83" t="s">
        <v>414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25">
      <c r="A84" t="s">
        <v>454</v>
      </c>
      <c r="B84" t="s">
        <v>455</v>
      </c>
      <c r="C84" t="s">
        <v>456</v>
      </c>
      <c r="D84" t="s">
        <v>174</v>
      </c>
      <c r="E84" t="s">
        <v>137</v>
      </c>
      <c r="F84">
        <v>3</v>
      </c>
      <c r="G84">
        <v>2</v>
      </c>
      <c r="H84">
        <v>3</v>
      </c>
      <c r="I84">
        <v>3</v>
      </c>
      <c r="J84">
        <v>3</v>
      </c>
      <c r="K84">
        <v>5</v>
      </c>
      <c r="L84">
        <v>2</v>
      </c>
      <c r="M84">
        <v>3</v>
      </c>
      <c r="N84">
        <v>3</v>
      </c>
      <c r="O84">
        <v>3</v>
      </c>
      <c r="P84">
        <v>3</v>
      </c>
      <c r="Q84">
        <v>4</v>
      </c>
      <c r="R84">
        <v>1</v>
      </c>
      <c r="S84">
        <v>2</v>
      </c>
      <c r="T84">
        <v>4</v>
      </c>
      <c r="U84">
        <v>4</v>
      </c>
      <c r="V84">
        <v>3</v>
      </c>
      <c r="W84">
        <v>3</v>
      </c>
      <c r="X84">
        <v>2</v>
      </c>
      <c r="Y84">
        <v>3</v>
      </c>
      <c r="Z84">
        <v>3</v>
      </c>
      <c r="AA84">
        <v>5</v>
      </c>
      <c r="AB84">
        <v>3</v>
      </c>
      <c r="AC84">
        <v>5</v>
      </c>
      <c r="AD84">
        <v>2</v>
      </c>
      <c r="AE84">
        <v>2</v>
      </c>
      <c r="AF84">
        <v>4</v>
      </c>
      <c r="AG84">
        <v>3</v>
      </c>
      <c r="AH84">
        <v>3</v>
      </c>
      <c r="AI84">
        <v>3</v>
      </c>
    </row>
    <row r="85" spans="1:35" x14ac:dyDescent="0.25">
      <c r="A85" t="s">
        <v>457</v>
      </c>
      <c r="B85" t="s">
        <v>458</v>
      </c>
      <c r="C85" t="s">
        <v>459</v>
      </c>
      <c r="D85" t="s">
        <v>211</v>
      </c>
      <c r="E85" t="s">
        <v>203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1</v>
      </c>
      <c r="AI85">
        <v>1</v>
      </c>
    </row>
    <row r="86" spans="1:35" x14ac:dyDescent="0.25">
      <c r="A86" t="s">
        <v>460</v>
      </c>
      <c r="B86" t="s">
        <v>461</v>
      </c>
      <c r="C86" t="s">
        <v>462</v>
      </c>
      <c r="D86" t="s">
        <v>211</v>
      </c>
      <c r="E86" t="s">
        <v>405</v>
      </c>
      <c r="F86">
        <v>3</v>
      </c>
      <c r="G86">
        <v>2</v>
      </c>
      <c r="H86">
        <v>1</v>
      </c>
      <c r="I86">
        <v>2</v>
      </c>
      <c r="J86">
        <v>2</v>
      </c>
      <c r="K86">
        <v>2</v>
      </c>
      <c r="L86">
        <v>2</v>
      </c>
      <c r="M86">
        <v>1</v>
      </c>
      <c r="N86">
        <v>1</v>
      </c>
      <c r="O86">
        <v>2</v>
      </c>
      <c r="P86">
        <v>2</v>
      </c>
      <c r="Q86">
        <v>1</v>
      </c>
      <c r="R86">
        <v>2</v>
      </c>
      <c r="S86">
        <v>1</v>
      </c>
      <c r="T86">
        <v>1</v>
      </c>
      <c r="U86">
        <v>3</v>
      </c>
      <c r="V86">
        <v>1</v>
      </c>
      <c r="W86">
        <v>1</v>
      </c>
      <c r="X86">
        <v>2</v>
      </c>
      <c r="Y86">
        <v>2</v>
      </c>
      <c r="Z86">
        <v>3</v>
      </c>
      <c r="AA86">
        <v>2</v>
      </c>
      <c r="AB86">
        <v>2</v>
      </c>
      <c r="AC86">
        <v>2</v>
      </c>
      <c r="AD86">
        <v>3</v>
      </c>
      <c r="AE86">
        <v>2</v>
      </c>
      <c r="AF86">
        <v>2</v>
      </c>
      <c r="AG86">
        <v>3</v>
      </c>
      <c r="AH86">
        <v>2</v>
      </c>
      <c r="AI86">
        <v>1</v>
      </c>
    </row>
    <row r="87" spans="1:35" x14ac:dyDescent="0.25">
      <c r="A87" t="s">
        <v>463</v>
      </c>
      <c r="B87" t="s">
        <v>464</v>
      </c>
      <c r="C87" t="s">
        <v>465</v>
      </c>
      <c r="D87" t="s">
        <v>256</v>
      </c>
      <c r="E87" t="s">
        <v>137</v>
      </c>
      <c r="F87">
        <v>3</v>
      </c>
      <c r="G87">
        <v>1</v>
      </c>
      <c r="H87">
        <v>1</v>
      </c>
      <c r="I87">
        <v>2</v>
      </c>
      <c r="J87">
        <v>3</v>
      </c>
      <c r="K87">
        <v>2</v>
      </c>
      <c r="L87">
        <v>1</v>
      </c>
      <c r="M87">
        <v>1</v>
      </c>
      <c r="N87">
        <v>1</v>
      </c>
      <c r="O87">
        <v>1</v>
      </c>
      <c r="P87">
        <v>3</v>
      </c>
      <c r="Q87">
        <v>3</v>
      </c>
      <c r="R87">
        <v>1</v>
      </c>
      <c r="S87">
        <v>1</v>
      </c>
      <c r="T87">
        <v>1</v>
      </c>
      <c r="U87">
        <v>2</v>
      </c>
      <c r="V87">
        <v>1</v>
      </c>
      <c r="W87">
        <v>2</v>
      </c>
      <c r="X87">
        <v>2</v>
      </c>
      <c r="Y87">
        <v>4</v>
      </c>
      <c r="Z87">
        <v>2</v>
      </c>
      <c r="AA87">
        <v>3</v>
      </c>
      <c r="AB87">
        <v>3</v>
      </c>
      <c r="AC87">
        <v>2</v>
      </c>
      <c r="AD87">
        <v>2</v>
      </c>
      <c r="AE87">
        <v>2</v>
      </c>
      <c r="AF87">
        <v>4</v>
      </c>
      <c r="AG87">
        <v>3</v>
      </c>
      <c r="AH87">
        <v>4</v>
      </c>
      <c r="AI87">
        <v>1</v>
      </c>
    </row>
    <row r="88" spans="1:35" x14ac:dyDescent="0.25">
      <c r="A88" t="s">
        <v>466</v>
      </c>
      <c r="B88" t="s">
        <v>467</v>
      </c>
      <c r="C88" t="s">
        <v>468</v>
      </c>
      <c r="D88" t="s">
        <v>469</v>
      </c>
      <c r="E88" t="s">
        <v>470</v>
      </c>
      <c r="F88">
        <v>2</v>
      </c>
      <c r="G88">
        <v>4</v>
      </c>
      <c r="H88">
        <v>5</v>
      </c>
      <c r="I88">
        <v>3</v>
      </c>
      <c r="J88">
        <v>2</v>
      </c>
      <c r="K88">
        <v>5</v>
      </c>
      <c r="L88">
        <v>1</v>
      </c>
      <c r="M88">
        <v>1</v>
      </c>
      <c r="N88">
        <v>3</v>
      </c>
      <c r="O88">
        <v>2</v>
      </c>
      <c r="P88">
        <v>2</v>
      </c>
      <c r="Q88">
        <v>4</v>
      </c>
      <c r="R88">
        <v>1</v>
      </c>
      <c r="S88">
        <v>1</v>
      </c>
      <c r="T88">
        <v>3</v>
      </c>
      <c r="U88">
        <v>3</v>
      </c>
      <c r="V88">
        <v>2</v>
      </c>
      <c r="W88">
        <v>1</v>
      </c>
      <c r="X88">
        <v>1</v>
      </c>
      <c r="Y88">
        <v>1</v>
      </c>
      <c r="Z88">
        <v>4</v>
      </c>
      <c r="AA88">
        <v>5</v>
      </c>
      <c r="AB88">
        <v>2</v>
      </c>
      <c r="AC88">
        <v>3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</row>
    <row r="89" spans="1:35" x14ac:dyDescent="0.25">
      <c r="A89" t="s">
        <v>471</v>
      </c>
      <c r="B89" t="s">
        <v>472</v>
      </c>
      <c r="C89" t="s">
        <v>473</v>
      </c>
      <c r="D89" t="s">
        <v>474</v>
      </c>
      <c r="E89" t="s">
        <v>405</v>
      </c>
      <c r="F89">
        <v>2</v>
      </c>
      <c r="G89">
        <v>3</v>
      </c>
      <c r="H89">
        <v>2</v>
      </c>
      <c r="I89">
        <v>2</v>
      </c>
      <c r="J89">
        <v>2</v>
      </c>
      <c r="K89">
        <v>1</v>
      </c>
      <c r="L89">
        <v>1</v>
      </c>
      <c r="M89">
        <v>1</v>
      </c>
      <c r="N89">
        <v>1</v>
      </c>
      <c r="O89">
        <v>3</v>
      </c>
      <c r="P89">
        <v>3</v>
      </c>
      <c r="Q89">
        <v>1</v>
      </c>
      <c r="R89">
        <v>1</v>
      </c>
      <c r="S89">
        <v>1</v>
      </c>
      <c r="T89">
        <v>2</v>
      </c>
      <c r="U89">
        <v>3</v>
      </c>
      <c r="V89">
        <v>1</v>
      </c>
      <c r="W89">
        <v>1</v>
      </c>
      <c r="X89">
        <v>2</v>
      </c>
      <c r="Y89">
        <v>1</v>
      </c>
      <c r="Z89">
        <v>2</v>
      </c>
      <c r="AA89">
        <v>2</v>
      </c>
      <c r="AB89">
        <v>2</v>
      </c>
      <c r="AC89">
        <v>1</v>
      </c>
      <c r="AD89">
        <v>1</v>
      </c>
      <c r="AE89">
        <v>2</v>
      </c>
      <c r="AF89">
        <v>1</v>
      </c>
      <c r="AG89">
        <v>1</v>
      </c>
      <c r="AH89">
        <v>3</v>
      </c>
      <c r="AI89">
        <v>1</v>
      </c>
    </row>
    <row r="90" spans="1:35" x14ac:dyDescent="0.25">
      <c r="A90" t="s">
        <v>475</v>
      </c>
      <c r="B90" t="s">
        <v>476</v>
      </c>
      <c r="C90" t="s">
        <v>477</v>
      </c>
      <c r="D90" t="s">
        <v>478</v>
      </c>
      <c r="E90" t="s">
        <v>212</v>
      </c>
      <c r="F90">
        <v>2</v>
      </c>
      <c r="G90">
        <v>2</v>
      </c>
      <c r="H90">
        <v>2</v>
      </c>
      <c r="I90">
        <v>2</v>
      </c>
      <c r="J90">
        <v>2</v>
      </c>
      <c r="K90">
        <v>3</v>
      </c>
      <c r="L90">
        <v>1</v>
      </c>
      <c r="M90">
        <v>1</v>
      </c>
      <c r="N90">
        <v>1</v>
      </c>
      <c r="O90">
        <v>2</v>
      </c>
      <c r="P90">
        <v>4</v>
      </c>
      <c r="Q90">
        <v>5</v>
      </c>
      <c r="R90">
        <v>1</v>
      </c>
      <c r="S90">
        <v>1</v>
      </c>
      <c r="T90">
        <v>2</v>
      </c>
      <c r="U90">
        <v>4</v>
      </c>
      <c r="V90">
        <v>3</v>
      </c>
      <c r="W90">
        <v>1</v>
      </c>
      <c r="X90">
        <v>4</v>
      </c>
      <c r="Y90">
        <v>1</v>
      </c>
      <c r="Z90">
        <v>4</v>
      </c>
      <c r="AA90">
        <v>3</v>
      </c>
      <c r="AB90">
        <v>2</v>
      </c>
      <c r="AC90">
        <v>2</v>
      </c>
      <c r="AD90">
        <v>2</v>
      </c>
      <c r="AE90">
        <v>2</v>
      </c>
      <c r="AF90">
        <v>2</v>
      </c>
      <c r="AG90">
        <v>2</v>
      </c>
      <c r="AH90">
        <v>3</v>
      </c>
      <c r="AI90">
        <v>1</v>
      </c>
    </row>
    <row r="91" spans="1:35" x14ac:dyDescent="0.25">
      <c r="A91" t="s">
        <v>479</v>
      </c>
      <c r="B91" t="s">
        <v>480</v>
      </c>
      <c r="C91" t="s">
        <v>481</v>
      </c>
      <c r="D91" t="s">
        <v>482</v>
      </c>
      <c r="E91" t="s">
        <v>405</v>
      </c>
      <c r="F91">
        <v>1</v>
      </c>
      <c r="G91">
        <v>1</v>
      </c>
      <c r="H91">
        <v>4</v>
      </c>
      <c r="I91">
        <v>2</v>
      </c>
      <c r="J91">
        <v>1</v>
      </c>
      <c r="K91">
        <v>2</v>
      </c>
      <c r="L91">
        <v>1</v>
      </c>
      <c r="M91">
        <v>1</v>
      </c>
      <c r="N91">
        <v>1</v>
      </c>
      <c r="O91">
        <v>1</v>
      </c>
      <c r="P91">
        <v>1</v>
      </c>
      <c r="Q91">
        <v>7</v>
      </c>
      <c r="R91">
        <v>1</v>
      </c>
      <c r="S91">
        <v>1</v>
      </c>
      <c r="T91">
        <v>2</v>
      </c>
      <c r="U91">
        <v>4</v>
      </c>
      <c r="V91">
        <v>1</v>
      </c>
      <c r="W91">
        <v>1</v>
      </c>
      <c r="X91">
        <v>1</v>
      </c>
      <c r="Y91">
        <v>1</v>
      </c>
      <c r="Z91">
        <v>4</v>
      </c>
      <c r="AA91">
        <v>2</v>
      </c>
      <c r="AB91">
        <v>1</v>
      </c>
      <c r="AC91">
        <v>7</v>
      </c>
      <c r="AD91">
        <v>1</v>
      </c>
      <c r="AE91">
        <v>4</v>
      </c>
      <c r="AF91">
        <v>4</v>
      </c>
      <c r="AG91">
        <v>1</v>
      </c>
      <c r="AH91">
        <v>1</v>
      </c>
      <c r="AI91">
        <v>6</v>
      </c>
    </row>
    <row r="92" spans="1:35" x14ac:dyDescent="0.25">
      <c r="A92" t="s">
        <v>483</v>
      </c>
      <c r="B92" t="s">
        <v>484</v>
      </c>
      <c r="C92" t="s">
        <v>485</v>
      </c>
      <c r="D92" t="s">
        <v>211</v>
      </c>
      <c r="E92" t="s">
        <v>231</v>
      </c>
      <c r="F92">
        <v>2</v>
      </c>
      <c r="G92">
        <v>2</v>
      </c>
      <c r="H92">
        <v>4</v>
      </c>
      <c r="I92">
        <v>2</v>
      </c>
      <c r="J92">
        <v>2</v>
      </c>
      <c r="K92">
        <v>2</v>
      </c>
      <c r="L92">
        <v>1</v>
      </c>
      <c r="M92">
        <v>1</v>
      </c>
      <c r="N92">
        <v>1</v>
      </c>
      <c r="O92">
        <v>3</v>
      </c>
      <c r="P92">
        <v>1</v>
      </c>
      <c r="Q92">
        <v>2</v>
      </c>
      <c r="R92">
        <v>3</v>
      </c>
      <c r="S92">
        <v>2</v>
      </c>
      <c r="T92">
        <v>3</v>
      </c>
      <c r="U92">
        <v>3</v>
      </c>
      <c r="V92">
        <v>1</v>
      </c>
      <c r="W92">
        <v>2</v>
      </c>
      <c r="X92">
        <v>1</v>
      </c>
      <c r="Y92">
        <v>1</v>
      </c>
      <c r="Z92">
        <v>2</v>
      </c>
      <c r="AA92">
        <v>3</v>
      </c>
      <c r="AB92">
        <v>2</v>
      </c>
      <c r="AC92">
        <v>2</v>
      </c>
      <c r="AD92">
        <v>1</v>
      </c>
      <c r="AE92">
        <v>1</v>
      </c>
      <c r="AF92">
        <v>2</v>
      </c>
      <c r="AG92">
        <v>1</v>
      </c>
      <c r="AH92">
        <v>1</v>
      </c>
      <c r="AI92">
        <v>1</v>
      </c>
    </row>
    <row r="93" spans="1:35" x14ac:dyDescent="0.25">
      <c r="A93" t="s">
        <v>486</v>
      </c>
      <c r="B93" t="s">
        <v>487</v>
      </c>
      <c r="C93" t="s">
        <v>488</v>
      </c>
      <c r="D93" t="s">
        <v>489</v>
      </c>
      <c r="E93" t="s">
        <v>212</v>
      </c>
      <c r="F93">
        <v>1</v>
      </c>
      <c r="G93">
        <v>1</v>
      </c>
      <c r="H93">
        <v>4</v>
      </c>
      <c r="I93">
        <v>1</v>
      </c>
      <c r="J93">
        <v>1</v>
      </c>
      <c r="K93">
        <v>4</v>
      </c>
      <c r="L93">
        <v>1</v>
      </c>
      <c r="M93">
        <v>1</v>
      </c>
      <c r="N93">
        <v>1</v>
      </c>
      <c r="O93">
        <v>3</v>
      </c>
      <c r="P93">
        <v>1</v>
      </c>
      <c r="Q93">
        <v>2</v>
      </c>
      <c r="R93">
        <v>1</v>
      </c>
      <c r="S93">
        <v>1</v>
      </c>
      <c r="T93">
        <v>2</v>
      </c>
      <c r="U93">
        <v>4</v>
      </c>
      <c r="V93">
        <v>1</v>
      </c>
      <c r="W93">
        <v>2</v>
      </c>
      <c r="X93">
        <v>1</v>
      </c>
      <c r="Y93">
        <v>1</v>
      </c>
      <c r="Z93">
        <v>4</v>
      </c>
      <c r="AA93">
        <v>6</v>
      </c>
      <c r="AB93">
        <v>1</v>
      </c>
      <c r="AC93">
        <v>3</v>
      </c>
      <c r="AD93">
        <v>1</v>
      </c>
      <c r="AE93">
        <v>2</v>
      </c>
      <c r="AF93">
        <v>3</v>
      </c>
      <c r="AG93">
        <v>1</v>
      </c>
      <c r="AH93">
        <v>2</v>
      </c>
      <c r="AI93">
        <v>2</v>
      </c>
    </row>
    <row r="94" spans="1:35" x14ac:dyDescent="0.25">
      <c r="A94" t="s">
        <v>490</v>
      </c>
      <c r="B94" t="s">
        <v>491</v>
      </c>
      <c r="C94" t="s">
        <v>492</v>
      </c>
      <c r="D94" t="s">
        <v>174</v>
      </c>
      <c r="E94" t="s">
        <v>137</v>
      </c>
      <c r="F94">
        <v>3</v>
      </c>
      <c r="G94">
        <v>3</v>
      </c>
      <c r="H94">
        <v>4</v>
      </c>
      <c r="I94">
        <v>4</v>
      </c>
      <c r="J94">
        <v>3</v>
      </c>
      <c r="K94">
        <v>5</v>
      </c>
      <c r="L94">
        <v>3</v>
      </c>
      <c r="M94">
        <v>2</v>
      </c>
      <c r="N94">
        <v>1</v>
      </c>
      <c r="O94">
        <v>3</v>
      </c>
      <c r="P94">
        <v>7</v>
      </c>
      <c r="Q94">
        <v>5</v>
      </c>
      <c r="R94">
        <v>1</v>
      </c>
      <c r="S94">
        <v>3</v>
      </c>
      <c r="T94">
        <v>1</v>
      </c>
      <c r="U94">
        <v>3</v>
      </c>
      <c r="V94">
        <v>2</v>
      </c>
      <c r="W94">
        <v>3</v>
      </c>
      <c r="X94">
        <v>4</v>
      </c>
      <c r="Y94">
        <v>2</v>
      </c>
      <c r="Z94">
        <v>2</v>
      </c>
      <c r="AA94">
        <v>5</v>
      </c>
      <c r="AB94">
        <v>5</v>
      </c>
      <c r="AC94">
        <v>5</v>
      </c>
      <c r="AD94">
        <v>3</v>
      </c>
      <c r="AE94">
        <v>5</v>
      </c>
      <c r="AF94">
        <v>1</v>
      </c>
      <c r="AG94">
        <v>2</v>
      </c>
      <c r="AH94">
        <v>3</v>
      </c>
      <c r="AI94">
        <v>1</v>
      </c>
    </row>
    <row r="95" spans="1:35" x14ac:dyDescent="0.25">
      <c r="A95" t="s">
        <v>493</v>
      </c>
      <c r="B95" t="s">
        <v>494</v>
      </c>
      <c r="C95" t="s">
        <v>366</v>
      </c>
      <c r="D95" t="s">
        <v>211</v>
      </c>
      <c r="E95" t="s">
        <v>495</v>
      </c>
      <c r="F95">
        <v>1</v>
      </c>
      <c r="G95">
        <v>2</v>
      </c>
      <c r="H95">
        <v>3</v>
      </c>
      <c r="I95">
        <v>1</v>
      </c>
      <c r="J95">
        <v>1</v>
      </c>
      <c r="K95">
        <v>1</v>
      </c>
      <c r="L95">
        <v>1</v>
      </c>
      <c r="M95">
        <v>1</v>
      </c>
      <c r="N95">
        <v>2</v>
      </c>
      <c r="O95">
        <v>2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1</v>
      </c>
      <c r="W95">
        <v>1</v>
      </c>
      <c r="X95">
        <v>1</v>
      </c>
      <c r="Y95">
        <v>2</v>
      </c>
      <c r="Z95">
        <v>1</v>
      </c>
      <c r="AA95">
        <v>1</v>
      </c>
      <c r="AB95">
        <v>1</v>
      </c>
      <c r="AC95">
        <v>1</v>
      </c>
      <c r="AD95">
        <v>2</v>
      </c>
      <c r="AE95">
        <v>1</v>
      </c>
      <c r="AF95">
        <v>1</v>
      </c>
      <c r="AG95">
        <v>1</v>
      </c>
      <c r="AH95">
        <v>2</v>
      </c>
      <c r="AI95">
        <v>1</v>
      </c>
    </row>
    <row r="96" spans="1:35" x14ac:dyDescent="0.25">
      <c r="A96" t="s">
        <v>496</v>
      </c>
      <c r="B96" t="s">
        <v>497</v>
      </c>
      <c r="C96" t="s">
        <v>498</v>
      </c>
      <c r="D96" t="s">
        <v>499</v>
      </c>
      <c r="E96" t="s">
        <v>137</v>
      </c>
      <c r="F96">
        <v>1</v>
      </c>
      <c r="G96">
        <v>1</v>
      </c>
      <c r="H96">
        <v>4</v>
      </c>
      <c r="I96">
        <v>1</v>
      </c>
      <c r="J96">
        <v>1</v>
      </c>
      <c r="K96">
        <v>4</v>
      </c>
      <c r="L96">
        <v>1</v>
      </c>
      <c r="M96">
        <v>1</v>
      </c>
      <c r="N96">
        <v>1</v>
      </c>
      <c r="O96">
        <v>1</v>
      </c>
      <c r="P96">
        <v>1</v>
      </c>
      <c r="Q96">
        <v>4</v>
      </c>
      <c r="R96">
        <v>7</v>
      </c>
      <c r="S96">
        <v>1</v>
      </c>
      <c r="T96">
        <v>1</v>
      </c>
      <c r="U96">
        <v>4</v>
      </c>
      <c r="V96">
        <v>1</v>
      </c>
      <c r="W96">
        <v>1</v>
      </c>
      <c r="X96">
        <v>1</v>
      </c>
      <c r="Y96">
        <v>3</v>
      </c>
      <c r="Z96">
        <v>4</v>
      </c>
      <c r="AA96">
        <v>5</v>
      </c>
      <c r="AB96">
        <v>4</v>
      </c>
      <c r="AC96">
        <v>5</v>
      </c>
      <c r="AD96">
        <v>1</v>
      </c>
      <c r="AE96">
        <v>4</v>
      </c>
      <c r="AF96">
        <v>4</v>
      </c>
      <c r="AG96">
        <v>4</v>
      </c>
      <c r="AH96">
        <v>5</v>
      </c>
      <c r="AI96">
        <v>5</v>
      </c>
    </row>
    <row r="97" spans="1:35" x14ac:dyDescent="0.25">
      <c r="A97" t="s">
        <v>500</v>
      </c>
      <c r="B97" t="s">
        <v>501</v>
      </c>
      <c r="C97" t="s">
        <v>502</v>
      </c>
      <c r="D97" t="s">
        <v>174</v>
      </c>
      <c r="E97" t="s">
        <v>137</v>
      </c>
      <c r="F97">
        <v>4</v>
      </c>
      <c r="G97">
        <v>1</v>
      </c>
      <c r="H97">
        <v>6</v>
      </c>
      <c r="I97">
        <v>3</v>
      </c>
      <c r="J97">
        <v>4</v>
      </c>
      <c r="K97">
        <v>4</v>
      </c>
      <c r="L97">
        <v>1</v>
      </c>
      <c r="M97">
        <v>1</v>
      </c>
      <c r="N97">
        <v>2</v>
      </c>
      <c r="O97">
        <v>3</v>
      </c>
      <c r="P97">
        <v>5</v>
      </c>
      <c r="Q97">
        <v>4</v>
      </c>
      <c r="R97">
        <v>4</v>
      </c>
      <c r="S97">
        <v>1</v>
      </c>
      <c r="T97">
        <v>2</v>
      </c>
      <c r="U97">
        <v>4</v>
      </c>
      <c r="V97">
        <v>1</v>
      </c>
      <c r="W97">
        <v>5</v>
      </c>
      <c r="X97">
        <v>2</v>
      </c>
      <c r="Y97">
        <v>1</v>
      </c>
      <c r="Z97">
        <v>4</v>
      </c>
      <c r="AA97">
        <v>4</v>
      </c>
      <c r="AB97">
        <v>7</v>
      </c>
      <c r="AC97">
        <v>4</v>
      </c>
      <c r="AD97">
        <v>4</v>
      </c>
      <c r="AE97">
        <v>2</v>
      </c>
      <c r="AF97">
        <v>4</v>
      </c>
      <c r="AG97">
        <v>2</v>
      </c>
      <c r="AH97">
        <v>4</v>
      </c>
      <c r="AI97">
        <v>2</v>
      </c>
    </row>
    <row r="98" spans="1:35" x14ac:dyDescent="0.25">
      <c r="A98" t="s">
        <v>503</v>
      </c>
      <c r="B98" t="s">
        <v>504</v>
      </c>
      <c r="C98" t="s">
        <v>505</v>
      </c>
      <c r="D98" t="s">
        <v>116</v>
      </c>
      <c r="E98" t="s">
        <v>137</v>
      </c>
      <c r="F98">
        <v>2</v>
      </c>
      <c r="G98">
        <v>1</v>
      </c>
      <c r="H98">
        <v>1</v>
      </c>
      <c r="I98">
        <v>1</v>
      </c>
      <c r="J98">
        <v>1</v>
      </c>
      <c r="K98">
        <v>3</v>
      </c>
      <c r="L98">
        <v>4</v>
      </c>
      <c r="M98">
        <v>1</v>
      </c>
      <c r="N98">
        <v>1</v>
      </c>
      <c r="O98">
        <v>1</v>
      </c>
      <c r="P98">
        <v>1</v>
      </c>
      <c r="Q98">
        <v>2</v>
      </c>
      <c r="R98">
        <v>1</v>
      </c>
      <c r="S98">
        <v>1</v>
      </c>
      <c r="T98">
        <v>1</v>
      </c>
      <c r="U98">
        <v>4</v>
      </c>
      <c r="V98">
        <v>1</v>
      </c>
      <c r="W98">
        <v>1</v>
      </c>
      <c r="X98">
        <v>1</v>
      </c>
      <c r="Y98">
        <v>5</v>
      </c>
      <c r="Z98">
        <v>1</v>
      </c>
      <c r="AA98">
        <v>3</v>
      </c>
      <c r="AB98">
        <v>1</v>
      </c>
      <c r="AC98">
        <v>5</v>
      </c>
      <c r="AD98">
        <v>2</v>
      </c>
      <c r="AE98">
        <v>6</v>
      </c>
      <c r="AF98">
        <v>1</v>
      </c>
      <c r="AG98">
        <v>2</v>
      </c>
      <c r="AH98">
        <v>2</v>
      </c>
      <c r="AI98">
        <v>1</v>
      </c>
    </row>
    <row r="99" spans="1:35" x14ac:dyDescent="0.25">
      <c r="A99" t="s">
        <v>506</v>
      </c>
      <c r="B99" t="s">
        <v>507</v>
      </c>
      <c r="C99" t="s">
        <v>508</v>
      </c>
      <c r="D99" t="s">
        <v>211</v>
      </c>
      <c r="E99" t="s">
        <v>212</v>
      </c>
      <c r="F99">
        <v>1</v>
      </c>
      <c r="G99">
        <v>2</v>
      </c>
      <c r="H99">
        <v>1</v>
      </c>
      <c r="I99">
        <v>1</v>
      </c>
      <c r="J99">
        <v>1</v>
      </c>
      <c r="K99">
        <v>2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3</v>
      </c>
      <c r="V99">
        <v>1</v>
      </c>
      <c r="W99">
        <v>1</v>
      </c>
      <c r="X99">
        <v>1</v>
      </c>
      <c r="Y99">
        <v>2</v>
      </c>
      <c r="Z99">
        <v>1</v>
      </c>
      <c r="AA99">
        <v>2</v>
      </c>
      <c r="AB99">
        <v>2</v>
      </c>
      <c r="AC99">
        <v>1</v>
      </c>
      <c r="AD99">
        <v>1</v>
      </c>
      <c r="AE99">
        <v>2</v>
      </c>
      <c r="AF99">
        <v>1</v>
      </c>
      <c r="AG99">
        <v>1</v>
      </c>
      <c r="AH99">
        <v>2</v>
      </c>
      <c r="AI99">
        <v>1</v>
      </c>
    </row>
    <row r="100" spans="1:35" x14ac:dyDescent="0.25">
      <c r="A100" t="s">
        <v>509</v>
      </c>
      <c r="B100" t="s">
        <v>510</v>
      </c>
      <c r="C100" t="s">
        <v>511</v>
      </c>
      <c r="D100" t="s">
        <v>512</v>
      </c>
      <c r="E100" t="s">
        <v>393</v>
      </c>
      <c r="F100">
        <v>2</v>
      </c>
      <c r="G100">
        <v>1</v>
      </c>
      <c r="H100">
        <v>2</v>
      </c>
      <c r="I100">
        <v>1</v>
      </c>
      <c r="J100">
        <v>1</v>
      </c>
      <c r="K100">
        <v>7</v>
      </c>
      <c r="L100">
        <v>1</v>
      </c>
      <c r="M100">
        <v>2</v>
      </c>
      <c r="N100">
        <v>2</v>
      </c>
      <c r="O100">
        <v>2</v>
      </c>
      <c r="P100">
        <v>1</v>
      </c>
      <c r="Q100">
        <v>7</v>
      </c>
      <c r="R100">
        <v>1</v>
      </c>
      <c r="S100">
        <v>1</v>
      </c>
      <c r="T100">
        <v>2</v>
      </c>
      <c r="U100">
        <v>4</v>
      </c>
      <c r="V100">
        <v>2</v>
      </c>
      <c r="W100">
        <v>4</v>
      </c>
      <c r="X100">
        <v>1</v>
      </c>
      <c r="Y100">
        <v>3</v>
      </c>
      <c r="Z100">
        <v>3</v>
      </c>
      <c r="AA100">
        <v>2</v>
      </c>
      <c r="AB100">
        <v>2</v>
      </c>
      <c r="AC100">
        <v>5</v>
      </c>
      <c r="AD100">
        <v>2</v>
      </c>
      <c r="AE100">
        <v>3</v>
      </c>
      <c r="AF100">
        <v>3</v>
      </c>
      <c r="AG100">
        <v>1</v>
      </c>
      <c r="AH100">
        <v>1</v>
      </c>
      <c r="AI100">
        <v>4</v>
      </c>
    </row>
    <row r="101" spans="1:35" x14ac:dyDescent="0.25">
      <c r="A101" t="s">
        <v>513</v>
      </c>
      <c r="B101" t="s">
        <v>514</v>
      </c>
      <c r="C101" t="s">
        <v>515</v>
      </c>
      <c r="D101" t="s">
        <v>516</v>
      </c>
      <c r="E101" t="s">
        <v>284</v>
      </c>
      <c r="F101">
        <v>2</v>
      </c>
      <c r="G101">
        <v>2</v>
      </c>
      <c r="H101">
        <v>3</v>
      </c>
      <c r="I101">
        <v>4</v>
      </c>
      <c r="J101">
        <v>3</v>
      </c>
      <c r="K101">
        <v>4</v>
      </c>
      <c r="L101">
        <v>4</v>
      </c>
      <c r="M101">
        <v>1</v>
      </c>
      <c r="N101">
        <v>2</v>
      </c>
      <c r="O101">
        <v>2</v>
      </c>
      <c r="P101">
        <v>4</v>
      </c>
      <c r="Q101">
        <v>2</v>
      </c>
      <c r="R101">
        <v>2</v>
      </c>
      <c r="S101">
        <v>2</v>
      </c>
      <c r="T101">
        <v>3</v>
      </c>
      <c r="U101">
        <v>3</v>
      </c>
      <c r="V101">
        <v>3</v>
      </c>
      <c r="W101">
        <v>4</v>
      </c>
      <c r="X101">
        <v>2</v>
      </c>
      <c r="Y101">
        <v>2</v>
      </c>
      <c r="Z101">
        <v>2</v>
      </c>
      <c r="AA101">
        <v>3</v>
      </c>
      <c r="AB101">
        <v>2</v>
      </c>
      <c r="AC101">
        <v>3</v>
      </c>
      <c r="AD101">
        <v>2</v>
      </c>
      <c r="AE101">
        <v>3</v>
      </c>
      <c r="AF101">
        <v>2</v>
      </c>
      <c r="AG101">
        <v>2</v>
      </c>
      <c r="AH101">
        <v>4</v>
      </c>
      <c r="AI101">
        <v>2</v>
      </c>
    </row>
    <row r="102" spans="1:35" x14ac:dyDescent="0.25">
      <c r="A102" t="s">
        <v>517</v>
      </c>
      <c r="B102" t="s">
        <v>518</v>
      </c>
      <c r="C102" t="s">
        <v>519</v>
      </c>
      <c r="D102" t="s">
        <v>520</v>
      </c>
      <c r="E102" t="s">
        <v>521</v>
      </c>
      <c r="F102">
        <v>7</v>
      </c>
      <c r="G102">
        <v>1</v>
      </c>
      <c r="H102">
        <v>4</v>
      </c>
      <c r="I102">
        <v>1</v>
      </c>
      <c r="J102">
        <v>1</v>
      </c>
      <c r="K102">
        <v>7</v>
      </c>
      <c r="L102">
        <v>1</v>
      </c>
      <c r="M102">
        <v>1</v>
      </c>
      <c r="N102">
        <v>1</v>
      </c>
      <c r="O102">
        <v>4</v>
      </c>
      <c r="P102">
        <v>3</v>
      </c>
      <c r="Q102">
        <v>7</v>
      </c>
      <c r="R102">
        <v>1</v>
      </c>
      <c r="S102">
        <v>1</v>
      </c>
      <c r="T102">
        <v>4</v>
      </c>
      <c r="U102">
        <v>6</v>
      </c>
      <c r="V102">
        <v>1</v>
      </c>
      <c r="W102">
        <v>7</v>
      </c>
      <c r="X102">
        <v>4</v>
      </c>
      <c r="Y102">
        <v>1</v>
      </c>
      <c r="Z102">
        <v>4</v>
      </c>
      <c r="AA102">
        <v>4</v>
      </c>
      <c r="AB102">
        <v>6</v>
      </c>
      <c r="AC102">
        <v>7</v>
      </c>
      <c r="AD102">
        <v>4</v>
      </c>
      <c r="AE102">
        <v>4</v>
      </c>
      <c r="AF102">
        <v>1</v>
      </c>
      <c r="AG102">
        <v>4</v>
      </c>
      <c r="AH102">
        <v>1</v>
      </c>
      <c r="AI102">
        <v>5</v>
      </c>
    </row>
    <row r="103" spans="1:35" x14ac:dyDescent="0.25">
      <c r="A103" t="s">
        <v>522</v>
      </c>
      <c r="B103" t="s">
        <v>523</v>
      </c>
      <c r="C103" t="s">
        <v>524</v>
      </c>
      <c r="D103" t="s">
        <v>525</v>
      </c>
      <c r="E103" t="s">
        <v>526</v>
      </c>
      <c r="F103">
        <v>3</v>
      </c>
      <c r="G103">
        <v>2</v>
      </c>
      <c r="H103">
        <v>4</v>
      </c>
      <c r="I103">
        <v>2</v>
      </c>
      <c r="J103">
        <v>1</v>
      </c>
      <c r="K103">
        <v>3</v>
      </c>
      <c r="L103">
        <v>1</v>
      </c>
      <c r="M103">
        <v>1</v>
      </c>
      <c r="N103">
        <v>2</v>
      </c>
      <c r="O103">
        <v>3</v>
      </c>
      <c r="P103">
        <v>2</v>
      </c>
      <c r="Q103">
        <v>2</v>
      </c>
      <c r="R103">
        <v>1</v>
      </c>
      <c r="S103">
        <v>1</v>
      </c>
      <c r="T103">
        <v>2</v>
      </c>
      <c r="U103">
        <v>2</v>
      </c>
      <c r="V103">
        <v>2</v>
      </c>
      <c r="W103">
        <v>4</v>
      </c>
      <c r="X103">
        <v>2</v>
      </c>
      <c r="Y103">
        <v>2</v>
      </c>
      <c r="Z103">
        <v>3</v>
      </c>
      <c r="AA103">
        <v>4</v>
      </c>
      <c r="AB103">
        <v>1</v>
      </c>
      <c r="AC103">
        <v>2</v>
      </c>
      <c r="AD103">
        <v>1</v>
      </c>
      <c r="AE103">
        <v>3</v>
      </c>
      <c r="AF103">
        <v>3</v>
      </c>
      <c r="AG103">
        <v>2</v>
      </c>
      <c r="AH103">
        <v>1</v>
      </c>
      <c r="AI103">
        <v>1</v>
      </c>
    </row>
    <row r="104" spans="1:35" x14ac:dyDescent="0.25">
      <c r="A104" t="s">
        <v>527</v>
      </c>
      <c r="B104" t="s">
        <v>528</v>
      </c>
      <c r="C104" t="s">
        <v>529</v>
      </c>
      <c r="D104" t="s">
        <v>530</v>
      </c>
      <c r="E104" t="s">
        <v>531</v>
      </c>
      <c r="F104">
        <v>3</v>
      </c>
      <c r="G104">
        <v>3</v>
      </c>
      <c r="H104">
        <v>2</v>
      </c>
      <c r="I104">
        <v>4</v>
      </c>
      <c r="J104">
        <v>3</v>
      </c>
      <c r="K104">
        <v>2</v>
      </c>
      <c r="L104">
        <v>3</v>
      </c>
      <c r="M104">
        <v>1</v>
      </c>
      <c r="N104">
        <v>2</v>
      </c>
      <c r="O104">
        <v>3</v>
      </c>
      <c r="P104">
        <v>4</v>
      </c>
      <c r="Q104">
        <v>1</v>
      </c>
      <c r="R104">
        <v>3</v>
      </c>
      <c r="S104">
        <v>1</v>
      </c>
      <c r="T104">
        <v>3</v>
      </c>
      <c r="U104">
        <v>4</v>
      </c>
      <c r="V104">
        <v>1</v>
      </c>
      <c r="W104">
        <v>1</v>
      </c>
      <c r="X104">
        <v>3</v>
      </c>
      <c r="Y104">
        <v>3</v>
      </c>
      <c r="Z104">
        <v>4</v>
      </c>
      <c r="AA104">
        <v>4</v>
      </c>
      <c r="AB104">
        <v>3</v>
      </c>
      <c r="AC104">
        <v>4</v>
      </c>
      <c r="AD104">
        <v>1</v>
      </c>
      <c r="AE104">
        <v>2</v>
      </c>
      <c r="AF104">
        <v>3</v>
      </c>
      <c r="AG104">
        <v>1</v>
      </c>
      <c r="AH104">
        <v>2</v>
      </c>
      <c r="AI104">
        <v>1</v>
      </c>
    </row>
    <row r="105" spans="1:35" x14ac:dyDescent="0.25">
      <c r="A105" t="s">
        <v>532</v>
      </c>
      <c r="B105" t="s">
        <v>533</v>
      </c>
      <c r="C105" t="s">
        <v>534</v>
      </c>
      <c r="D105" t="s">
        <v>535</v>
      </c>
      <c r="E105" t="s">
        <v>142</v>
      </c>
      <c r="F105">
        <v>2</v>
      </c>
      <c r="G105">
        <v>2</v>
      </c>
      <c r="H105">
        <v>6</v>
      </c>
      <c r="I105">
        <v>4</v>
      </c>
      <c r="J105">
        <v>2</v>
      </c>
      <c r="K105">
        <v>1</v>
      </c>
      <c r="L105">
        <v>2</v>
      </c>
      <c r="M105">
        <v>1</v>
      </c>
      <c r="N105">
        <v>2</v>
      </c>
      <c r="O105">
        <v>2</v>
      </c>
      <c r="P105">
        <v>2</v>
      </c>
      <c r="Q105">
        <v>2</v>
      </c>
      <c r="R105">
        <v>1</v>
      </c>
      <c r="S105">
        <v>2</v>
      </c>
      <c r="T105">
        <v>5</v>
      </c>
      <c r="U105">
        <v>5</v>
      </c>
      <c r="V105">
        <v>2</v>
      </c>
      <c r="W105">
        <v>2</v>
      </c>
      <c r="X105">
        <v>3</v>
      </c>
      <c r="Y105">
        <v>2</v>
      </c>
      <c r="Z105">
        <v>6</v>
      </c>
      <c r="AA105">
        <v>5</v>
      </c>
      <c r="AB105">
        <v>3</v>
      </c>
      <c r="AC105">
        <v>6</v>
      </c>
      <c r="AD105">
        <v>2</v>
      </c>
      <c r="AE105">
        <v>5</v>
      </c>
      <c r="AF105">
        <v>6</v>
      </c>
      <c r="AG105">
        <v>3</v>
      </c>
      <c r="AH105">
        <v>1</v>
      </c>
      <c r="AI105">
        <v>3</v>
      </c>
    </row>
    <row r="106" spans="1:35" x14ac:dyDescent="0.25">
      <c r="A106" t="s">
        <v>537</v>
      </c>
      <c r="B106" t="s">
        <v>538</v>
      </c>
      <c r="C106" t="s">
        <v>539</v>
      </c>
      <c r="D106" t="s">
        <v>540</v>
      </c>
      <c r="E106" t="s">
        <v>405</v>
      </c>
      <c r="F106">
        <v>3</v>
      </c>
      <c r="G106">
        <v>2</v>
      </c>
      <c r="H106">
        <v>2</v>
      </c>
      <c r="I106">
        <v>2</v>
      </c>
      <c r="J106">
        <v>2</v>
      </c>
      <c r="K106">
        <v>3</v>
      </c>
      <c r="L106">
        <v>1</v>
      </c>
      <c r="M106">
        <v>1</v>
      </c>
      <c r="N106">
        <v>1</v>
      </c>
      <c r="O106">
        <v>3</v>
      </c>
      <c r="P106">
        <v>2</v>
      </c>
      <c r="Q106">
        <v>2</v>
      </c>
      <c r="R106">
        <v>3</v>
      </c>
      <c r="S106">
        <v>7</v>
      </c>
      <c r="T106">
        <v>3</v>
      </c>
      <c r="U106">
        <v>4</v>
      </c>
      <c r="V106">
        <v>2</v>
      </c>
      <c r="W106">
        <v>2</v>
      </c>
      <c r="X106">
        <v>3</v>
      </c>
      <c r="Y106">
        <v>3</v>
      </c>
      <c r="Z106">
        <v>3</v>
      </c>
      <c r="AA106">
        <v>3</v>
      </c>
      <c r="AB106">
        <v>3</v>
      </c>
      <c r="AC106">
        <v>3</v>
      </c>
      <c r="AD106">
        <v>3</v>
      </c>
      <c r="AE106">
        <v>2</v>
      </c>
      <c r="AF106">
        <v>3</v>
      </c>
      <c r="AG106">
        <v>1</v>
      </c>
      <c r="AH106">
        <v>2</v>
      </c>
      <c r="AI106">
        <v>3</v>
      </c>
    </row>
    <row r="107" spans="1:35" x14ac:dyDescent="0.25">
      <c r="A107" t="s">
        <v>542</v>
      </c>
      <c r="B107" t="s">
        <v>543</v>
      </c>
      <c r="C107" t="s">
        <v>544</v>
      </c>
      <c r="D107" t="s">
        <v>545</v>
      </c>
      <c r="E107" t="s">
        <v>405</v>
      </c>
      <c r="F107">
        <v>3</v>
      </c>
      <c r="G107">
        <v>2</v>
      </c>
      <c r="H107">
        <v>4</v>
      </c>
      <c r="I107">
        <v>2</v>
      </c>
      <c r="J107">
        <v>3</v>
      </c>
      <c r="K107">
        <v>5</v>
      </c>
      <c r="L107">
        <v>1</v>
      </c>
      <c r="M107">
        <v>2</v>
      </c>
      <c r="N107">
        <v>2</v>
      </c>
      <c r="O107">
        <v>2</v>
      </c>
      <c r="P107">
        <v>2</v>
      </c>
      <c r="Q107">
        <v>5</v>
      </c>
      <c r="R107">
        <v>3</v>
      </c>
      <c r="S107">
        <v>1</v>
      </c>
      <c r="T107">
        <v>3</v>
      </c>
      <c r="U107">
        <v>4</v>
      </c>
      <c r="V107">
        <v>2</v>
      </c>
      <c r="W107">
        <v>5</v>
      </c>
      <c r="X107">
        <v>2</v>
      </c>
      <c r="Y107">
        <v>2</v>
      </c>
      <c r="Z107">
        <v>5</v>
      </c>
      <c r="AA107">
        <v>4</v>
      </c>
      <c r="AB107">
        <v>4</v>
      </c>
      <c r="AC107">
        <v>5</v>
      </c>
      <c r="AD107">
        <v>2</v>
      </c>
      <c r="AE107">
        <v>4</v>
      </c>
      <c r="AF107">
        <v>4</v>
      </c>
      <c r="AG107">
        <v>3</v>
      </c>
      <c r="AH107">
        <v>4</v>
      </c>
      <c r="AI107">
        <v>5</v>
      </c>
    </row>
    <row r="108" spans="1:35" x14ac:dyDescent="0.25">
      <c r="A108" t="s">
        <v>546</v>
      </c>
      <c r="B108" t="s">
        <v>547</v>
      </c>
      <c r="C108" t="s">
        <v>548</v>
      </c>
      <c r="D108" t="s">
        <v>211</v>
      </c>
      <c r="E108" t="s">
        <v>212</v>
      </c>
      <c r="F108">
        <v>3</v>
      </c>
      <c r="G108">
        <v>3</v>
      </c>
      <c r="H108">
        <v>5</v>
      </c>
      <c r="I108">
        <v>3</v>
      </c>
      <c r="J108">
        <v>3</v>
      </c>
      <c r="K108">
        <v>3</v>
      </c>
      <c r="L108">
        <v>2</v>
      </c>
      <c r="M108">
        <v>2</v>
      </c>
      <c r="N108">
        <v>3</v>
      </c>
      <c r="O108">
        <v>4</v>
      </c>
      <c r="P108">
        <v>3</v>
      </c>
      <c r="Q108">
        <v>4</v>
      </c>
      <c r="R108">
        <v>3</v>
      </c>
      <c r="S108">
        <v>3</v>
      </c>
      <c r="T108">
        <v>4</v>
      </c>
      <c r="U108">
        <v>4</v>
      </c>
      <c r="V108">
        <v>3</v>
      </c>
      <c r="W108">
        <v>3</v>
      </c>
      <c r="X108">
        <v>4</v>
      </c>
      <c r="Y108">
        <v>3</v>
      </c>
      <c r="Z108">
        <v>5</v>
      </c>
      <c r="AA108">
        <v>4</v>
      </c>
      <c r="AB108">
        <v>3</v>
      </c>
      <c r="AC108">
        <v>3</v>
      </c>
      <c r="AD108">
        <v>3</v>
      </c>
      <c r="AE108">
        <v>3</v>
      </c>
      <c r="AF108">
        <v>4</v>
      </c>
      <c r="AG108">
        <v>3</v>
      </c>
      <c r="AH108">
        <v>3</v>
      </c>
      <c r="AI108">
        <v>3</v>
      </c>
    </row>
    <row r="109" spans="1:35" x14ac:dyDescent="0.25">
      <c r="A109" t="s">
        <v>549</v>
      </c>
      <c r="B109" t="s">
        <v>550</v>
      </c>
      <c r="C109" t="s">
        <v>551</v>
      </c>
      <c r="D109" t="s">
        <v>552</v>
      </c>
      <c r="E109" t="s">
        <v>553</v>
      </c>
      <c r="F109">
        <v>2</v>
      </c>
      <c r="G109">
        <v>2</v>
      </c>
      <c r="H109">
        <v>5</v>
      </c>
      <c r="I109">
        <v>3</v>
      </c>
      <c r="J109">
        <v>3</v>
      </c>
      <c r="K109">
        <v>3</v>
      </c>
      <c r="L109">
        <v>4</v>
      </c>
      <c r="M109">
        <v>4</v>
      </c>
      <c r="N109">
        <v>3</v>
      </c>
      <c r="O109">
        <v>5</v>
      </c>
      <c r="P109">
        <v>3</v>
      </c>
      <c r="Q109">
        <v>4</v>
      </c>
      <c r="R109">
        <v>2</v>
      </c>
      <c r="S109">
        <v>2</v>
      </c>
      <c r="T109">
        <v>5</v>
      </c>
      <c r="U109">
        <v>6</v>
      </c>
      <c r="V109">
        <v>5</v>
      </c>
      <c r="W109">
        <v>3</v>
      </c>
      <c r="X109">
        <v>3</v>
      </c>
      <c r="Y109">
        <v>3</v>
      </c>
      <c r="Z109">
        <v>4</v>
      </c>
      <c r="AA109">
        <v>4</v>
      </c>
      <c r="AB109">
        <v>3</v>
      </c>
      <c r="AC109">
        <v>3</v>
      </c>
      <c r="AD109">
        <v>2</v>
      </c>
      <c r="AE109">
        <v>3</v>
      </c>
      <c r="AF109">
        <v>3</v>
      </c>
      <c r="AG109">
        <v>3</v>
      </c>
      <c r="AH109">
        <v>3</v>
      </c>
      <c r="AI109">
        <v>3</v>
      </c>
    </row>
    <row r="110" spans="1:35" x14ac:dyDescent="0.25">
      <c r="A110" t="s">
        <v>554</v>
      </c>
      <c r="B110" t="s">
        <v>555</v>
      </c>
      <c r="C110" t="s">
        <v>556</v>
      </c>
      <c r="D110" t="s">
        <v>557</v>
      </c>
      <c r="E110" t="s">
        <v>558</v>
      </c>
      <c r="F110">
        <v>4</v>
      </c>
      <c r="G110">
        <v>1</v>
      </c>
      <c r="H110">
        <v>5</v>
      </c>
      <c r="I110">
        <v>4</v>
      </c>
      <c r="J110">
        <v>1</v>
      </c>
      <c r="K110">
        <v>5</v>
      </c>
      <c r="L110">
        <v>1</v>
      </c>
      <c r="M110">
        <v>5</v>
      </c>
      <c r="N110">
        <v>4</v>
      </c>
      <c r="O110">
        <v>2</v>
      </c>
      <c r="P110">
        <v>3</v>
      </c>
      <c r="Q110">
        <v>6</v>
      </c>
      <c r="R110">
        <v>1</v>
      </c>
      <c r="S110">
        <v>2</v>
      </c>
      <c r="T110">
        <v>4</v>
      </c>
      <c r="U110">
        <v>4</v>
      </c>
      <c r="V110">
        <v>1</v>
      </c>
      <c r="W110">
        <v>1</v>
      </c>
      <c r="X110">
        <v>1</v>
      </c>
      <c r="Y110">
        <v>2</v>
      </c>
      <c r="Z110">
        <v>1</v>
      </c>
      <c r="AA110">
        <v>4</v>
      </c>
      <c r="AB110">
        <v>1</v>
      </c>
      <c r="AC110">
        <v>5</v>
      </c>
      <c r="AD110">
        <v>4</v>
      </c>
      <c r="AE110">
        <v>2</v>
      </c>
      <c r="AF110">
        <v>3</v>
      </c>
      <c r="AG110">
        <v>1</v>
      </c>
      <c r="AH110">
        <v>2</v>
      </c>
      <c r="AI110">
        <v>5</v>
      </c>
    </row>
    <row r="111" spans="1:35" x14ac:dyDescent="0.25">
      <c r="A111" t="s">
        <v>559</v>
      </c>
      <c r="B111" t="s">
        <v>560</v>
      </c>
      <c r="C111" t="s">
        <v>561</v>
      </c>
      <c r="D111" t="s">
        <v>562</v>
      </c>
      <c r="E111" t="s">
        <v>137</v>
      </c>
      <c r="F111">
        <v>3</v>
      </c>
      <c r="G111">
        <v>1</v>
      </c>
      <c r="H111">
        <v>2</v>
      </c>
      <c r="I111">
        <v>1</v>
      </c>
      <c r="J111">
        <v>1</v>
      </c>
      <c r="K111">
        <v>5</v>
      </c>
      <c r="L111">
        <v>2</v>
      </c>
      <c r="M111">
        <v>2</v>
      </c>
      <c r="N111">
        <v>2</v>
      </c>
      <c r="O111">
        <v>3</v>
      </c>
      <c r="P111">
        <v>1</v>
      </c>
      <c r="Q111">
        <v>2</v>
      </c>
      <c r="R111">
        <v>4</v>
      </c>
      <c r="S111">
        <v>3</v>
      </c>
      <c r="T111">
        <v>5</v>
      </c>
      <c r="U111">
        <v>5</v>
      </c>
      <c r="V111">
        <v>4</v>
      </c>
      <c r="W111">
        <v>5</v>
      </c>
      <c r="X111">
        <v>4</v>
      </c>
      <c r="Y111">
        <v>1</v>
      </c>
      <c r="Z111">
        <v>4</v>
      </c>
      <c r="AA111">
        <v>4</v>
      </c>
      <c r="AB111">
        <v>4</v>
      </c>
      <c r="AC111">
        <v>7</v>
      </c>
      <c r="AD111">
        <v>2</v>
      </c>
      <c r="AE111">
        <v>5</v>
      </c>
      <c r="AF111">
        <v>4</v>
      </c>
      <c r="AG111">
        <v>4</v>
      </c>
      <c r="AH111">
        <v>4</v>
      </c>
      <c r="AI111">
        <v>3</v>
      </c>
    </row>
    <row r="112" spans="1:35" x14ac:dyDescent="0.25">
      <c r="A112" t="s">
        <v>563</v>
      </c>
      <c r="B112" t="s">
        <v>564</v>
      </c>
      <c r="C112" t="s">
        <v>565</v>
      </c>
      <c r="D112" t="s">
        <v>211</v>
      </c>
      <c r="E112" t="s">
        <v>405</v>
      </c>
      <c r="F112">
        <v>1</v>
      </c>
      <c r="G112">
        <v>2</v>
      </c>
      <c r="H112">
        <v>2</v>
      </c>
      <c r="I112">
        <v>1</v>
      </c>
      <c r="J112">
        <v>1</v>
      </c>
      <c r="K112">
        <v>6</v>
      </c>
      <c r="L112">
        <v>1</v>
      </c>
      <c r="M112">
        <v>1</v>
      </c>
      <c r="N112">
        <v>1</v>
      </c>
      <c r="O112">
        <v>2</v>
      </c>
      <c r="P112">
        <v>4</v>
      </c>
      <c r="Q112">
        <v>7</v>
      </c>
      <c r="R112">
        <v>1</v>
      </c>
      <c r="S112">
        <v>1</v>
      </c>
      <c r="T112">
        <v>2</v>
      </c>
      <c r="U112">
        <v>2</v>
      </c>
      <c r="V112">
        <v>1</v>
      </c>
      <c r="W112">
        <v>5</v>
      </c>
      <c r="X112">
        <v>2</v>
      </c>
      <c r="Y112">
        <v>3</v>
      </c>
      <c r="Z112">
        <v>2</v>
      </c>
      <c r="AA112">
        <v>2</v>
      </c>
      <c r="AB112">
        <v>1</v>
      </c>
      <c r="AC112">
        <v>2</v>
      </c>
      <c r="AD112">
        <v>1</v>
      </c>
      <c r="AE112">
        <v>1</v>
      </c>
      <c r="AF112">
        <v>2</v>
      </c>
      <c r="AG112">
        <v>1</v>
      </c>
      <c r="AH112">
        <v>1</v>
      </c>
      <c r="AI112">
        <v>2</v>
      </c>
    </row>
    <row r="113" spans="1:35" x14ac:dyDescent="0.25">
      <c r="A113" t="s">
        <v>566</v>
      </c>
      <c r="B113" t="s">
        <v>567</v>
      </c>
      <c r="C113" t="s">
        <v>568</v>
      </c>
      <c r="D113" t="s">
        <v>444</v>
      </c>
      <c r="E113" t="s">
        <v>212</v>
      </c>
      <c r="F113">
        <v>4</v>
      </c>
      <c r="G113">
        <v>3</v>
      </c>
      <c r="H113">
        <v>4</v>
      </c>
      <c r="I113">
        <v>4</v>
      </c>
      <c r="J113">
        <v>4</v>
      </c>
      <c r="K113">
        <v>4</v>
      </c>
      <c r="L113">
        <v>4</v>
      </c>
      <c r="M113">
        <v>3</v>
      </c>
      <c r="N113">
        <v>3</v>
      </c>
      <c r="O113">
        <v>3</v>
      </c>
      <c r="P113">
        <v>2</v>
      </c>
      <c r="Q113">
        <v>4</v>
      </c>
      <c r="R113">
        <v>4</v>
      </c>
      <c r="S113">
        <v>3</v>
      </c>
      <c r="T113">
        <v>4</v>
      </c>
      <c r="U113">
        <v>4</v>
      </c>
      <c r="V113">
        <v>3</v>
      </c>
      <c r="W113">
        <v>3</v>
      </c>
      <c r="X113">
        <v>3</v>
      </c>
      <c r="Y113">
        <v>3</v>
      </c>
      <c r="Z113">
        <v>3</v>
      </c>
      <c r="AA113">
        <v>3</v>
      </c>
      <c r="AB113">
        <v>4</v>
      </c>
      <c r="AC113">
        <v>4</v>
      </c>
      <c r="AD113">
        <v>3</v>
      </c>
      <c r="AE113">
        <v>3</v>
      </c>
      <c r="AF113">
        <v>4</v>
      </c>
      <c r="AG113">
        <v>4</v>
      </c>
      <c r="AH113">
        <v>4</v>
      </c>
      <c r="AI113">
        <v>4</v>
      </c>
    </row>
    <row r="114" spans="1:35" x14ac:dyDescent="0.25">
      <c r="A114" s="2"/>
      <c r="B114" s="2"/>
      <c r="C114" s="2"/>
      <c r="D114" s="2"/>
      <c r="E114" s="2"/>
    </row>
    <row r="115" spans="1:35" x14ac:dyDescent="0.25">
      <c r="A115" s="2"/>
      <c r="B115" s="2"/>
      <c r="C115" s="2"/>
      <c r="D115" s="2"/>
      <c r="E115" s="2"/>
    </row>
    <row r="116" spans="1:35" x14ac:dyDescent="0.25">
      <c r="A116" s="2"/>
      <c r="B116" s="2"/>
      <c r="C116" s="2"/>
      <c r="D116" s="2"/>
      <c r="E116" s="2"/>
    </row>
    <row r="117" spans="1:35" x14ac:dyDescent="0.25">
      <c r="A117" s="2"/>
      <c r="B117" s="2"/>
      <c r="C117" s="2"/>
      <c r="D117" s="2"/>
      <c r="E117" s="2"/>
    </row>
    <row r="118" spans="1:35" x14ac:dyDescent="0.25">
      <c r="A118" s="2"/>
      <c r="B118" s="2"/>
      <c r="C118" s="2"/>
      <c r="D118" s="2"/>
      <c r="E118" s="2"/>
    </row>
    <row r="119" spans="1:35" x14ac:dyDescent="0.25">
      <c r="A119" s="2"/>
      <c r="B119" s="2"/>
      <c r="C119" s="2"/>
      <c r="D119" s="2"/>
      <c r="E119" s="2"/>
    </row>
    <row r="120" spans="1:35" x14ac:dyDescent="0.25">
      <c r="A120" s="2"/>
      <c r="B120" s="2"/>
      <c r="C120" s="2"/>
      <c r="D120" s="2"/>
      <c r="E120" s="2"/>
    </row>
    <row r="121" spans="1:35" x14ac:dyDescent="0.25">
      <c r="A121" s="2"/>
      <c r="B121" s="2"/>
      <c r="C121" s="2"/>
      <c r="D121" s="2"/>
      <c r="E121" s="2"/>
    </row>
    <row r="122" spans="1:35" x14ac:dyDescent="0.25">
      <c r="A122" s="2"/>
      <c r="B122" s="2"/>
      <c r="C122" s="2"/>
      <c r="D122" s="2"/>
      <c r="E122" s="2"/>
    </row>
    <row r="123" spans="1:35" x14ac:dyDescent="0.25">
      <c r="A123" s="2"/>
      <c r="B123" s="2"/>
      <c r="C123" s="2"/>
      <c r="D123" s="2"/>
      <c r="E123" s="2"/>
    </row>
    <row r="124" spans="1:35" x14ac:dyDescent="0.25">
      <c r="A124" s="2"/>
      <c r="B124" s="2"/>
      <c r="C124" s="2"/>
      <c r="D124" s="2"/>
      <c r="E124" s="2"/>
    </row>
    <row r="125" spans="1:35" x14ac:dyDescent="0.25">
      <c r="A125" s="2"/>
      <c r="B125" s="2"/>
      <c r="C125" s="2"/>
      <c r="D125" s="2"/>
      <c r="E125" s="2"/>
    </row>
    <row r="126" spans="1:35" x14ac:dyDescent="0.25">
      <c r="A126" s="2"/>
      <c r="B126" s="2"/>
      <c r="C126" s="2"/>
      <c r="D126" s="2"/>
      <c r="E126" s="2"/>
    </row>
    <row r="127" spans="1:35" x14ac:dyDescent="0.25">
      <c r="A127" s="2"/>
      <c r="B127" s="2"/>
      <c r="C127" s="2"/>
      <c r="D127" s="2"/>
      <c r="E127" s="2"/>
    </row>
    <row r="128" spans="1:35" x14ac:dyDescent="0.25">
      <c r="A128" s="2"/>
      <c r="B128" s="2"/>
      <c r="C128" s="2"/>
      <c r="D128" s="2"/>
      <c r="E128" s="2"/>
    </row>
    <row r="129" spans="1:5" x14ac:dyDescent="0.25">
      <c r="A129" s="2"/>
      <c r="B129" s="2"/>
      <c r="C129" s="2"/>
      <c r="D129" s="2"/>
      <c r="E129" s="2"/>
    </row>
    <row r="130" spans="1:5" x14ac:dyDescent="0.25">
      <c r="A130" s="2"/>
      <c r="B130" s="2"/>
      <c r="C130" s="2"/>
      <c r="D130" s="2"/>
      <c r="E130" s="2"/>
    </row>
    <row r="131" spans="1:5" x14ac:dyDescent="0.25">
      <c r="A131" s="2"/>
      <c r="B131" s="2"/>
      <c r="C131" s="2"/>
      <c r="D131" s="2"/>
      <c r="E131" s="2"/>
    </row>
    <row r="132" spans="1:5" x14ac:dyDescent="0.25">
      <c r="A132" s="2"/>
      <c r="B132" s="2"/>
      <c r="C132" s="2"/>
      <c r="D132" s="2"/>
      <c r="E132" s="2"/>
    </row>
    <row r="133" spans="1:5" x14ac:dyDescent="0.25">
      <c r="A133" s="2"/>
      <c r="B133" s="2"/>
      <c r="C133" s="2"/>
      <c r="D133" s="2"/>
      <c r="E133" s="2"/>
    </row>
    <row r="134" spans="1:5" x14ac:dyDescent="0.25">
      <c r="A134" s="2"/>
      <c r="B134" s="2"/>
      <c r="C134" s="2"/>
      <c r="D134" s="2"/>
      <c r="E134" s="2"/>
    </row>
    <row r="135" spans="1:5" x14ac:dyDescent="0.25">
      <c r="A135" s="2"/>
      <c r="B135" s="2"/>
      <c r="C135" s="2"/>
      <c r="D135" s="2"/>
      <c r="E135" s="2"/>
    </row>
    <row r="136" spans="1:5" x14ac:dyDescent="0.25">
      <c r="A136" s="2"/>
      <c r="B136" s="2"/>
      <c r="C136" s="2"/>
      <c r="D136" s="2"/>
      <c r="E136" s="2"/>
    </row>
    <row r="137" spans="1:5" x14ac:dyDescent="0.25">
      <c r="A137" s="2"/>
      <c r="B137" s="2"/>
      <c r="C137" s="2"/>
      <c r="D137" s="2"/>
      <c r="E137" s="2"/>
    </row>
    <row r="138" spans="1:5" x14ac:dyDescent="0.25">
      <c r="A138" s="2"/>
      <c r="B138" s="2"/>
      <c r="C138" s="2"/>
      <c r="D138" s="2"/>
      <c r="E138" s="2"/>
    </row>
    <row r="139" spans="1:5" x14ac:dyDescent="0.25">
      <c r="A139" s="2"/>
      <c r="B139" s="2"/>
      <c r="C139" s="2"/>
      <c r="D139" s="2"/>
      <c r="E139" s="2"/>
    </row>
    <row r="140" spans="1:5" x14ac:dyDescent="0.25">
      <c r="A140" s="2"/>
      <c r="B140" s="2"/>
      <c r="C140" s="2"/>
      <c r="D140" s="2"/>
      <c r="E140" s="2"/>
    </row>
    <row r="141" spans="1:5" x14ac:dyDescent="0.25">
      <c r="A141" s="2"/>
      <c r="B141" s="2"/>
      <c r="C141" s="2"/>
      <c r="D141" s="2"/>
      <c r="E141" s="2"/>
    </row>
    <row r="142" spans="1:5" x14ac:dyDescent="0.25">
      <c r="A142" s="2"/>
      <c r="B142" s="2"/>
      <c r="C142" s="2"/>
      <c r="D142" s="2"/>
      <c r="E142" s="2"/>
    </row>
    <row r="143" spans="1:5" x14ac:dyDescent="0.25">
      <c r="A143" s="2"/>
      <c r="B143" s="2"/>
      <c r="C143" s="2"/>
      <c r="D143" s="2"/>
      <c r="E143" s="2"/>
    </row>
    <row r="144" spans="1:5" x14ac:dyDescent="0.25">
      <c r="A144" s="2"/>
      <c r="B144" s="2"/>
      <c r="C144" s="2"/>
      <c r="D144" s="2"/>
      <c r="E144" s="2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U1048576"/>
  <sheetViews>
    <sheetView zoomScale="80" zoomScaleNormal="80" workbookViewId="0">
      <selection activeCell="R2" sqref="R2:R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10">
        <v>1</v>
      </c>
    </row>
    <row r="16" spans="1:21" x14ac:dyDescent="0.25">
      <c r="A16" s="2">
        <v>6</v>
      </c>
      <c r="B16" t="s">
        <v>19</v>
      </c>
      <c r="O16" s="2">
        <v>4</v>
      </c>
      <c r="R16" s="2" t="s">
        <v>118</v>
      </c>
    </row>
    <row r="17" spans="1:18" x14ac:dyDescent="0.25">
      <c r="A17" s="2">
        <v>7</v>
      </c>
      <c r="B17" t="s">
        <v>20</v>
      </c>
      <c r="O17" s="2">
        <v>2</v>
      </c>
      <c r="R17" s="2" t="s">
        <v>119</v>
      </c>
    </row>
    <row r="18" spans="1:18" x14ac:dyDescent="0.25">
      <c r="A18" s="2">
        <v>8</v>
      </c>
      <c r="B18" t="s">
        <v>21</v>
      </c>
      <c r="O18" s="2">
        <v>3</v>
      </c>
      <c r="R18" s="2" t="s">
        <v>120</v>
      </c>
    </row>
    <row r="19" spans="1:18" x14ac:dyDescent="0.25">
      <c r="A19" s="2">
        <v>9</v>
      </c>
      <c r="B19" t="s">
        <v>22</v>
      </c>
      <c r="O19" s="2">
        <v>4</v>
      </c>
      <c r="R19" s="2" t="s">
        <v>121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122</v>
      </c>
    </row>
    <row r="21" spans="1:18" x14ac:dyDescent="0.25">
      <c r="A21" s="2">
        <v>11</v>
      </c>
      <c r="B21" t="s">
        <v>24</v>
      </c>
      <c r="O21" s="2">
        <v>2</v>
      </c>
      <c r="R21" s="9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7</v>
      </c>
    </row>
    <row r="33" spans="1:15" x14ac:dyDescent="0.25">
      <c r="A33" s="2">
        <v>23</v>
      </c>
      <c r="B33" t="s">
        <v>37</v>
      </c>
      <c r="O33" s="2">
        <v>5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4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18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3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3</v>
      </c>
      <c r="R15" s="10">
        <v>2</v>
      </c>
    </row>
    <row r="16" spans="1:21" x14ac:dyDescent="0.25">
      <c r="A16" s="2">
        <v>6</v>
      </c>
      <c r="B16" t="s">
        <v>19</v>
      </c>
      <c r="O16" s="2">
        <v>4</v>
      </c>
      <c r="R16" s="2" t="s">
        <v>123</v>
      </c>
    </row>
    <row r="17" spans="1:18" x14ac:dyDescent="0.25">
      <c r="A17" s="2">
        <v>7</v>
      </c>
      <c r="B17" t="s">
        <v>20</v>
      </c>
      <c r="O17" s="2">
        <v>5</v>
      </c>
      <c r="R17" s="2" t="s">
        <v>124</v>
      </c>
    </row>
    <row r="18" spans="1:18" x14ac:dyDescent="0.25">
      <c r="A18" s="2">
        <v>8</v>
      </c>
      <c r="B18" t="s">
        <v>21</v>
      </c>
      <c r="O18" s="2">
        <v>4</v>
      </c>
      <c r="R18" s="2" t="s">
        <v>125</v>
      </c>
    </row>
    <row r="19" spans="1:18" x14ac:dyDescent="0.25">
      <c r="A19" s="2">
        <v>9</v>
      </c>
      <c r="B19" t="s">
        <v>22</v>
      </c>
      <c r="O19" s="2">
        <v>5</v>
      </c>
      <c r="R19" s="2" t="s">
        <v>126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127</v>
      </c>
    </row>
    <row r="21" spans="1:18" x14ac:dyDescent="0.25">
      <c r="A21" s="2">
        <v>11</v>
      </c>
      <c r="B21" t="s">
        <v>24</v>
      </c>
      <c r="O21" s="2">
        <v>5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4</v>
      </c>
    </row>
    <row r="24" spans="1:18" x14ac:dyDescent="0.25">
      <c r="A24" s="2">
        <v>14</v>
      </c>
      <c r="B24" t="s">
        <v>28</v>
      </c>
      <c r="O24" s="2">
        <v>3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5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1</v>
      </c>
      <c r="R15" s="10">
        <v>3</v>
      </c>
    </row>
    <row r="16" spans="1:21" x14ac:dyDescent="0.25">
      <c r="A16" s="2">
        <v>6</v>
      </c>
      <c r="B16" t="s">
        <v>19</v>
      </c>
      <c r="O16" s="2">
        <v>3</v>
      </c>
      <c r="R16" s="2" t="s">
        <v>128</v>
      </c>
    </row>
    <row r="17" spans="1:18" x14ac:dyDescent="0.25">
      <c r="A17" s="2">
        <v>7</v>
      </c>
      <c r="B17" t="s">
        <v>20</v>
      </c>
      <c r="O17" s="2">
        <v>1</v>
      </c>
      <c r="R17" s="2" t="s">
        <v>129</v>
      </c>
    </row>
    <row r="18" spans="1:18" x14ac:dyDescent="0.25">
      <c r="A18" s="2">
        <v>8</v>
      </c>
      <c r="B18" t="s">
        <v>21</v>
      </c>
      <c r="O18" s="2">
        <v>1</v>
      </c>
      <c r="R18" s="2" t="s">
        <v>130</v>
      </c>
    </row>
    <row r="19" spans="1:18" x14ac:dyDescent="0.25">
      <c r="A19" s="2">
        <v>9</v>
      </c>
      <c r="B19" t="s">
        <v>22</v>
      </c>
      <c r="O19" s="2">
        <v>1</v>
      </c>
      <c r="R19" s="2" t="s">
        <v>131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132</v>
      </c>
    </row>
    <row r="21" spans="1:18" x14ac:dyDescent="0.25">
      <c r="A21" s="2">
        <v>11</v>
      </c>
      <c r="B21" t="s">
        <v>24</v>
      </c>
      <c r="O21" s="2">
        <v>1</v>
      </c>
      <c r="R21" s="9"/>
    </row>
    <row r="22" spans="1:18" x14ac:dyDescent="0.25">
      <c r="A22" s="2">
        <v>12</v>
      </c>
      <c r="B22" t="s">
        <v>25</v>
      </c>
      <c r="O22" s="2">
        <v>3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3</v>
      </c>
    </row>
    <row r="25" spans="1:18" x14ac:dyDescent="0.25">
      <c r="A25" s="2">
        <v>15</v>
      </c>
      <c r="B25" t="s">
        <v>29</v>
      </c>
      <c r="O25" s="2">
        <v>6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U1048576"/>
  <sheetViews>
    <sheetView topLeftCell="D1"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32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6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4</v>
      </c>
    </row>
    <row r="16" spans="1:21" x14ac:dyDescent="0.25">
      <c r="A16" s="2">
        <v>6</v>
      </c>
      <c r="B16" t="s">
        <v>19</v>
      </c>
      <c r="O16" s="2">
        <v>7</v>
      </c>
      <c r="R16" s="2" t="s">
        <v>133</v>
      </c>
    </row>
    <row r="17" spans="1:18" x14ac:dyDescent="0.25">
      <c r="A17" s="2">
        <v>7</v>
      </c>
      <c r="B17" t="s">
        <v>20</v>
      </c>
      <c r="O17" s="2">
        <v>1</v>
      </c>
      <c r="R17" s="2" t="s">
        <v>134</v>
      </c>
    </row>
    <row r="18" spans="1:18" x14ac:dyDescent="0.25">
      <c r="A18" s="2">
        <v>8</v>
      </c>
      <c r="B18" t="s">
        <v>21</v>
      </c>
      <c r="O18" s="2">
        <v>1</v>
      </c>
      <c r="R18" s="2" t="s">
        <v>135</v>
      </c>
    </row>
    <row r="19" spans="1:18" x14ac:dyDescent="0.25">
      <c r="A19" s="2">
        <v>9</v>
      </c>
      <c r="B19" t="s">
        <v>22</v>
      </c>
      <c r="O19" s="2">
        <v>2</v>
      </c>
      <c r="R19" s="2" t="s">
        <v>136</v>
      </c>
    </row>
    <row r="20" spans="1:18" x14ac:dyDescent="0.25">
      <c r="A20" s="2">
        <v>10</v>
      </c>
      <c r="B20" t="s">
        <v>23</v>
      </c>
      <c r="O20" s="2">
        <v>5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6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6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5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6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6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19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6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1</v>
      </c>
      <c r="R15" s="10">
        <v>5</v>
      </c>
    </row>
    <row r="16" spans="1:21" x14ac:dyDescent="0.25">
      <c r="A16" s="2">
        <v>6</v>
      </c>
      <c r="B16" t="s">
        <v>19</v>
      </c>
      <c r="O16" s="2">
        <v>5</v>
      </c>
      <c r="R16" s="2" t="s">
        <v>138</v>
      </c>
    </row>
    <row r="17" spans="1:18" x14ac:dyDescent="0.25">
      <c r="A17" s="2">
        <v>7</v>
      </c>
      <c r="B17" t="s">
        <v>20</v>
      </c>
      <c r="O17" s="2">
        <v>1</v>
      </c>
      <c r="R17" s="2" t="s">
        <v>139</v>
      </c>
    </row>
    <row r="18" spans="1:18" x14ac:dyDescent="0.25">
      <c r="A18" s="2">
        <v>8</v>
      </c>
      <c r="B18" t="s">
        <v>21</v>
      </c>
      <c r="O18" s="2">
        <v>1</v>
      </c>
      <c r="R18" s="2" t="s">
        <v>140</v>
      </c>
    </row>
    <row r="19" spans="1:18" x14ac:dyDescent="0.25">
      <c r="A19" s="2">
        <v>9</v>
      </c>
      <c r="B19" t="s">
        <v>22</v>
      </c>
      <c r="O19" s="2">
        <v>2</v>
      </c>
      <c r="R19" s="2" t="s">
        <v>141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142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6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2</v>
      </c>
      <c r="R15" s="10">
        <v>6</v>
      </c>
    </row>
    <row r="16" spans="1:21" x14ac:dyDescent="0.25">
      <c r="A16" s="2">
        <v>6</v>
      </c>
      <c r="B16" t="s">
        <v>19</v>
      </c>
      <c r="O16" s="2">
        <v>2</v>
      </c>
      <c r="R16" s="2" t="s">
        <v>143</v>
      </c>
    </row>
    <row r="17" spans="1:18" x14ac:dyDescent="0.25">
      <c r="A17" s="2">
        <v>7</v>
      </c>
      <c r="B17" t="s">
        <v>20</v>
      </c>
      <c r="O17" s="2">
        <v>1</v>
      </c>
      <c r="R17" s="2" t="s">
        <v>144</v>
      </c>
    </row>
    <row r="18" spans="1:18" x14ac:dyDescent="0.25">
      <c r="A18" s="2">
        <v>8</v>
      </c>
      <c r="B18" t="s">
        <v>21</v>
      </c>
      <c r="O18" s="2">
        <v>1</v>
      </c>
      <c r="R18" s="2" t="s">
        <v>145</v>
      </c>
    </row>
    <row r="19" spans="1:18" x14ac:dyDescent="0.25">
      <c r="A19" s="2">
        <v>9</v>
      </c>
      <c r="B19" t="s">
        <v>22</v>
      </c>
      <c r="O19" s="2">
        <v>1</v>
      </c>
      <c r="R19" s="2" t="s">
        <v>146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147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7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18</v>
      </c>
      <c r="U7" s="3" t="s">
        <v>62</v>
      </c>
    </row>
    <row r="8" spans="1:21" x14ac:dyDescent="0.25">
      <c r="A8" s="2">
        <v>6</v>
      </c>
      <c r="B8" t="s">
        <v>13</v>
      </c>
      <c r="U8" s="12"/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2</v>
      </c>
      <c r="R15" s="10">
        <v>7</v>
      </c>
    </row>
    <row r="16" spans="1:21" x14ac:dyDescent="0.25">
      <c r="A16" s="2">
        <v>6</v>
      </c>
      <c r="B16" t="s">
        <v>19</v>
      </c>
      <c r="O16" s="2">
        <v>3</v>
      </c>
      <c r="R16" s="2" t="s">
        <v>148</v>
      </c>
    </row>
    <row r="17" spans="1:18" x14ac:dyDescent="0.25">
      <c r="A17" s="2">
        <v>7</v>
      </c>
      <c r="B17" t="s">
        <v>20</v>
      </c>
      <c r="O17" s="2">
        <v>2</v>
      </c>
      <c r="R17" s="2" t="s">
        <v>149</v>
      </c>
    </row>
    <row r="18" spans="1:18" x14ac:dyDescent="0.25">
      <c r="A18" s="2">
        <v>8</v>
      </c>
      <c r="B18" t="s">
        <v>21</v>
      </c>
      <c r="O18" s="2">
        <v>2</v>
      </c>
      <c r="R18" s="2" t="s">
        <v>150</v>
      </c>
    </row>
    <row r="19" spans="1:18" x14ac:dyDescent="0.25">
      <c r="A19" s="2">
        <v>9</v>
      </c>
      <c r="B19" t="s">
        <v>22</v>
      </c>
      <c r="O19" s="2">
        <v>2</v>
      </c>
      <c r="R19" s="2" t="s">
        <v>151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152</v>
      </c>
    </row>
    <row r="21" spans="1:18" x14ac:dyDescent="0.25">
      <c r="A21" s="2">
        <v>11</v>
      </c>
      <c r="B21" t="s">
        <v>24</v>
      </c>
      <c r="O21" s="2">
        <v>3</v>
      </c>
      <c r="R21" s="9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5</v>
      </c>
    </row>
    <row r="24" spans="1:18" x14ac:dyDescent="0.25">
      <c r="A24" s="2">
        <v>14</v>
      </c>
      <c r="B24" t="s">
        <v>28</v>
      </c>
      <c r="O24" s="2">
        <v>3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/>
  </sheetPr>
  <dimension ref="A1:U1048576"/>
  <sheetViews>
    <sheetView zoomScale="70" zoomScaleNormal="7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23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31</v>
      </c>
      <c r="U4" s="16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31</v>
      </c>
      <c r="U7" s="16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6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8</v>
      </c>
    </row>
    <row r="16" spans="1:21" x14ac:dyDescent="0.25">
      <c r="A16" s="2">
        <v>6</v>
      </c>
      <c r="B16" t="s">
        <v>19</v>
      </c>
      <c r="O16" s="2">
        <v>6</v>
      </c>
      <c r="R16" s="11" t="s">
        <v>153</v>
      </c>
    </row>
    <row r="17" spans="1:18" x14ac:dyDescent="0.25">
      <c r="A17" s="2">
        <v>7</v>
      </c>
      <c r="B17" t="s">
        <v>20</v>
      </c>
      <c r="O17" s="2">
        <v>4</v>
      </c>
      <c r="R17" s="11" t="s">
        <v>154</v>
      </c>
    </row>
    <row r="18" spans="1:18" x14ac:dyDescent="0.25">
      <c r="A18" s="2">
        <v>8</v>
      </c>
      <c r="B18" t="s">
        <v>21</v>
      </c>
      <c r="O18" s="2">
        <v>7</v>
      </c>
      <c r="R18" s="11" t="s">
        <v>155</v>
      </c>
    </row>
    <row r="19" spans="1:18" x14ac:dyDescent="0.25">
      <c r="A19" s="2">
        <v>9</v>
      </c>
      <c r="B19" t="s">
        <v>22</v>
      </c>
      <c r="O19" s="2">
        <v>5</v>
      </c>
      <c r="R19" s="11" t="s">
        <v>156</v>
      </c>
    </row>
    <row r="20" spans="1:18" x14ac:dyDescent="0.25">
      <c r="A20" s="2">
        <v>10</v>
      </c>
      <c r="B20" t="s">
        <v>23</v>
      </c>
      <c r="O20" s="2">
        <v>5</v>
      </c>
      <c r="R20" s="11" t="s">
        <v>127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4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6</v>
      </c>
    </row>
    <row r="26" spans="1:18" x14ac:dyDescent="0.25">
      <c r="A26" s="2">
        <v>16</v>
      </c>
      <c r="B26" t="s">
        <v>30</v>
      </c>
      <c r="O26" s="2">
        <v>7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6</v>
      </c>
    </row>
    <row r="31" spans="1:18" x14ac:dyDescent="0.25">
      <c r="A31" s="2">
        <v>21</v>
      </c>
      <c r="B31" t="s">
        <v>35</v>
      </c>
      <c r="O31" s="2">
        <v>7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7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5</v>
      </c>
    </row>
    <row r="37" spans="1:15" x14ac:dyDescent="0.25">
      <c r="A37" s="2">
        <v>27</v>
      </c>
      <c r="B37" t="s">
        <v>41</v>
      </c>
      <c r="O37" s="2">
        <v>7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2</v>
      </c>
      <c r="R15" s="10">
        <v>9</v>
      </c>
    </row>
    <row r="16" spans="1:21" x14ac:dyDescent="0.25">
      <c r="A16" s="2">
        <v>6</v>
      </c>
      <c r="B16" t="s">
        <v>19</v>
      </c>
      <c r="O16" s="2">
        <v>4</v>
      </c>
      <c r="R16" s="2" t="s">
        <v>157</v>
      </c>
    </row>
    <row r="17" spans="1:18" x14ac:dyDescent="0.25">
      <c r="A17" s="2">
        <v>7</v>
      </c>
      <c r="B17" t="s">
        <v>20</v>
      </c>
      <c r="O17" s="2">
        <v>2</v>
      </c>
      <c r="R17" s="2" t="s">
        <v>158</v>
      </c>
    </row>
    <row r="18" spans="1:18" x14ac:dyDescent="0.25">
      <c r="A18" s="2">
        <v>8</v>
      </c>
      <c r="B18" t="s">
        <v>21</v>
      </c>
      <c r="O18" s="2">
        <v>2</v>
      </c>
      <c r="R18" s="2" t="s">
        <v>159</v>
      </c>
    </row>
    <row r="19" spans="1:18" x14ac:dyDescent="0.25">
      <c r="A19" s="2">
        <v>9</v>
      </c>
      <c r="B19" t="s">
        <v>22</v>
      </c>
      <c r="O19" s="2">
        <v>2</v>
      </c>
      <c r="R19" s="2" t="s">
        <v>160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161</v>
      </c>
    </row>
    <row r="21" spans="1:18" x14ac:dyDescent="0.25">
      <c r="A21" s="2">
        <v>11</v>
      </c>
      <c r="B21" t="s">
        <v>24</v>
      </c>
      <c r="O21" s="2">
        <v>3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3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4</v>
      </c>
      <c r="R15" s="10">
        <v>10</v>
      </c>
    </row>
    <row r="16" spans="1:21" x14ac:dyDescent="0.25">
      <c r="A16" s="2">
        <v>6</v>
      </c>
      <c r="B16" t="s">
        <v>19</v>
      </c>
      <c r="O16" s="2">
        <v>2</v>
      </c>
      <c r="R16" s="2" t="s">
        <v>162</v>
      </c>
    </row>
    <row r="17" spans="1:18" x14ac:dyDescent="0.25">
      <c r="A17" s="2">
        <v>7</v>
      </c>
      <c r="B17" t="s">
        <v>20</v>
      </c>
      <c r="O17" s="2">
        <v>3</v>
      </c>
      <c r="R17" s="2" t="s">
        <v>163</v>
      </c>
    </row>
    <row r="18" spans="1:18" x14ac:dyDescent="0.25">
      <c r="A18" s="2">
        <v>8</v>
      </c>
      <c r="B18" t="s">
        <v>21</v>
      </c>
      <c r="O18" s="2">
        <v>1</v>
      </c>
      <c r="R18" s="2" t="s">
        <v>164</v>
      </c>
    </row>
    <row r="19" spans="1:18" x14ac:dyDescent="0.25">
      <c r="A19" s="2">
        <v>9</v>
      </c>
      <c r="B19" t="s">
        <v>22</v>
      </c>
      <c r="O19" s="2">
        <v>4</v>
      </c>
      <c r="R19" s="2" t="s">
        <v>165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2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5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32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7</v>
      </c>
      <c r="R15" s="9">
        <v>11</v>
      </c>
    </row>
    <row r="16" spans="1:21" x14ac:dyDescent="0.25">
      <c r="A16" s="2">
        <v>6</v>
      </c>
      <c r="B16" t="s">
        <v>19</v>
      </c>
      <c r="O16" s="2">
        <v>2</v>
      </c>
      <c r="R16" s="2" t="s">
        <v>166</v>
      </c>
    </row>
    <row r="17" spans="1:18" x14ac:dyDescent="0.25">
      <c r="A17" s="2">
        <v>7</v>
      </c>
      <c r="B17" t="s">
        <v>20</v>
      </c>
      <c r="O17" s="2">
        <v>1</v>
      </c>
      <c r="R17" s="2" t="s">
        <v>167</v>
      </c>
    </row>
    <row r="18" spans="1:18" x14ac:dyDescent="0.25">
      <c r="A18" s="2">
        <v>8</v>
      </c>
      <c r="B18" t="s">
        <v>21</v>
      </c>
      <c r="O18" s="2">
        <v>2</v>
      </c>
      <c r="R18" s="2" t="s">
        <v>168</v>
      </c>
    </row>
    <row r="19" spans="1:18" x14ac:dyDescent="0.25">
      <c r="A19" s="2">
        <v>9</v>
      </c>
      <c r="B19" t="s">
        <v>22</v>
      </c>
      <c r="O19" s="2">
        <v>2</v>
      </c>
      <c r="R19" s="2" t="s">
        <v>169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170</v>
      </c>
    </row>
    <row r="21" spans="1:18" x14ac:dyDescent="0.25">
      <c r="A21" s="2">
        <v>11</v>
      </c>
      <c r="B21" t="s">
        <v>24</v>
      </c>
      <c r="O21" s="2">
        <v>7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5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2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6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3</v>
      </c>
      <c r="R15" s="9">
        <v>12</v>
      </c>
    </row>
    <row r="16" spans="1:21" x14ac:dyDescent="0.25">
      <c r="A16" s="2">
        <v>6</v>
      </c>
      <c r="B16" t="s">
        <v>19</v>
      </c>
      <c r="O16" s="2">
        <v>5</v>
      </c>
      <c r="R16" s="2" t="s">
        <v>171</v>
      </c>
    </row>
    <row r="17" spans="1:18" x14ac:dyDescent="0.25">
      <c r="A17" s="2">
        <v>7</v>
      </c>
      <c r="B17" t="s">
        <v>20</v>
      </c>
      <c r="O17" s="2">
        <v>1</v>
      </c>
      <c r="R17" s="2" t="s">
        <v>172</v>
      </c>
    </row>
    <row r="18" spans="1:18" x14ac:dyDescent="0.25">
      <c r="A18" s="2">
        <v>8</v>
      </c>
      <c r="B18" t="s">
        <v>21</v>
      </c>
      <c r="O18" s="2">
        <v>1</v>
      </c>
      <c r="R18" s="2" t="s">
        <v>173</v>
      </c>
    </row>
    <row r="19" spans="1:18" x14ac:dyDescent="0.25">
      <c r="A19" s="2">
        <v>9</v>
      </c>
      <c r="B19" t="s">
        <v>22</v>
      </c>
      <c r="O19" s="2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9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7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7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4</v>
      </c>
      <c r="R15" s="9">
        <v>13</v>
      </c>
    </row>
    <row r="16" spans="1:21" x14ac:dyDescent="0.25">
      <c r="A16" s="2">
        <v>6</v>
      </c>
      <c r="B16" t="s">
        <v>19</v>
      </c>
      <c r="O16" s="2">
        <v>3</v>
      </c>
      <c r="R16" s="2" t="s">
        <v>175</v>
      </c>
    </row>
    <row r="17" spans="1:18" x14ac:dyDescent="0.25">
      <c r="A17" s="2">
        <v>7</v>
      </c>
      <c r="B17" t="s">
        <v>20</v>
      </c>
      <c r="O17" s="2">
        <v>1</v>
      </c>
      <c r="R17" s="2" t="s">
        <v>176</v>
      </c>
    </row>
    <row r="18" spans="1:18" x14ac:dyDescent="0.25">
      <c r="A18" s="2">
        <v>8</v>
      </c>
      <c r="B18" t="s">
        <v>21</v>
      </c>
      <c r="O18" s="2">
        <v>1</v>
      </c>
      <c r="R18" s="2" t="s">
        <v>177</v>
      </c>
    </row>
    <row r="19" spans="1:18" x14ac:dyDescent="0.25">
      <c r="A19" s="2">
        <v>9</v>
      </c>
      <c r="B19" t="s">
        <v>22</v>
      </c>
      <c r="O19" s="2">
        <v>1</v>
      </c>
      <c r="R19" s="2" t="s">
        <v>178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179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4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5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19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3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9">
        <v>14</v>
      </c>
    </row>
    <row r="16" spans="1:21" x14ac:dyDescent="0.25">
      <c r="A16" s="2">
        <v>6</v>
      </c>
      <c r="B16" t="s">
        <v>19</v>
      </c>
      <c r="O16" s="2">
        <v>2</v>
      </c>
      <c r="R16" s="2" t="s">
        <v>180</v>
      </c>
    </row>
    <row r="17" spans="1:18" x14ac:dyDescent="0.25">
      <c r="A17" s="2">
        <v>7</v>
      </c>
      <c r="B17" t="s">
        <v>20</v>
      </c>
      <c r="O17" s="2">
        <v>4</v>
      </c>
      <c r="R17" s="2" t="s">
        <v>181</v>
      </c>
    </row>
    <row r="18" spans="1:18" x14ac:dyDescent="0.25">
      <c r="A18" s="2">
        <v>8</v>
      </c>
      <c r="B18" t="s">
        <v>21</v>
      </c>
      <c r="O18" s="2">
        <v>2</v>
      </c>
      <c r="R18" s="2" t="s">
        <v>182</v>
      </c>
    </row>
    <row r="19" spans="1:18" x14ac:dyDescent="0.25">
      <c r="A19" s="2">
        <v>9</v>
      </c>
      <c r="B19" t="s">
        <v>22</v>
      </c>
      <c r="O19" s="2">
        <v>2</v>
      </c>
      <c r="R19" s="2" t="s">
        <v>183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184</v>
      </c>
    </row>
    <row r="21" spans="1:18" x14ac:dyDescent="0.25">
      <c r="A21" s="2">
        <v>11</v>
      </c>
      <c r="B21" t="s">
        <v>24</v>
      </c>
      <c r="O21" s="2">
        <v>3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3</v>
      </c>
    </row>
    <row r="33" spans="1:15" x14ac:dyDescent="0.25">
      <c r="A33" s="2">
        <v>23</v>
      </c>
      <c r="B33" t="s">
        <v>37</v>
      </c>
      <c r="O33" s="2">
        <v>4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27</v>
      </c>
      <c r="U4" s="3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27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32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5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10">
        <v>15</v>
      </c>
    </row>
    <row r="16" spans="1:21" x14ac:dyDescent="0.25">
      <c r="A16" s="2">
        <v>6</v>
      </c>
      <c r="B16" t="s">
        <v>19</v>
      </c>
      <c r="O16" s="2">
        <v>7</v>
      </c>
      <c r="R16" s="2" t="s">
        <v>185</v>
      </c>
    </row>
    <row r="17" spans="1:18" x14ac:dyDescent="0.25">
      <c r="A17" s="2">
        <v>7</v>
      </c>
      <c r="B17" t="s">
        <v>20</v>
      </c>
      <c r="O17" s="2">
        <v>6</v>
      </c>
      <c r="R17" s="2" t="s">
        <v>186</v>
      </c>
    </row>
    <row r="18" spans="1:18" x14ac:dyDescent="0.25">
      <c r="A18" s="2">
        <v>8</v>
      </c>
      <c r="B18" t="s">
        <v>21</v>
      </c>
      <c r="O18" s="2">
        <v>1</v>
      </c>
      <c r="R18" s="2" t="s">
        <v>187</v>
      </c>
    </row>
    <row r="19" spans="1:18" x14ac:dyDescent="0.25">
      <c r="A19" s="2">
        <v>9</v>
      </c>
      <c r="B19" t="s">
        <v>22</v>
      </c>
      <c r="O19" s="2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7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7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7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6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6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7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3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16</v>
      </c>
    </row>
    <row r="16" spans="1:21" x14ac:dyDescent="0.25">
      <c r="A16" s="2">
        <v>6</v>
      </c>
      <c r="B16" t="s">
        <v>19</v>
      </c>
      <c r="O16" s="2">
        <v>5</v>
      </c>
      <c r="R16" s="2" t="s">
        <v>190</v>
      </c>
    </row>
    <row r="17" spans="1:18" x14ac:dyDescent="0.25">
      <c r="A17" s="2">
        <v>7</v>
      </c>
      <c r="B17" t="s">
        <v>20</v>
      </c>
      <c r="O17" s="2">
        <v>1</v>
      </c>
      <c r="R17" s="2" t="s">
        <v>191</v>
      </c>
    </row>
    <row r="18" spans="1:18" x14ac:dyDescent="0.25">
      <c r="A18" s="2">
        <v>8</v>
      </c>
      <c r="B18" t="s">
        <v>21</v>
      </c>
      <c r="O18" s="2">
        <v>2</v>
      </c>
      <c r="R18" s="2" t="s">
        <v>192</v>
      </c>
    </row>
    <row r="19" spans="1:18" x14ac:dyDescent="0.25">
      <c r="A19" s="2">
        <v>9</v>
      </c>
      <c r="B19" t="s">
        <v>22</v>
      </c>
      <c r="O19" s="2">
        <v>1</v>
      </c>
      <c r="R19" s="2" t="s">
        <v>193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194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6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3</v>
      </c>
      <c r="R15" s="10">
        <v>17</v>
      </c>
    </row>
    <row r="16" spans="1:21" x14ac:dyDescent="0.25">
      <c r="A16" s="2">
        <v>6</v>
      </c>
      <c r="B16" t="s">
        <v>19</v>
      </c>
      <c r="O16" s="2">
        <v>5</v>
      </c>
      <c r="R16" s="2" t="s">
        <v>195</v>
      </c>
    </row>
    <row r="17" spans="1:18" x14ac:dyDescent="0.25">
      <c r="A17" s="2">
        <v>7</v>
      </c>
      <c r="B17" t="s">
        <v>20</v>
      </c>
      <c r="O17" s="2">
        <v>2</v>
      </c>
      <c r="R17" s="2" t="s">
        <v>196</v>
      </c>
    </row>
    <row r="18" spans="1:18" x14ac:dyDescent="0.25">
      <c r="A18" s="2">
        <v>8</v>
      </c>
      <c r="B18" t="s">
        <v>21</v>
      </c>
      <c r="O18" s="2">
        <v>1</v>
      </c>
      <c r="R18" s="2" t="s">
        <v>197</v>
      </c>
    </row>
    <row r="19" spans="1:18" x14ac:dyDescent="0.25">
      <c r="A19" s="2">
        <v>9</v>
      </c>
      <c r="B19" t="s">
        <v>22</v>
      </c>
      <c r="O19" s="2">
        <v>1</v>
      </c>
      <c r="R19" s="2" t="s">
        <v>198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6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5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18</v>
      </c>
    </row>
    <row r="16" spans="1:21" x14ac:dyDescent="0.25">
      <c r="A16" s="2">
        <v>6</v>
      </c>
      <c r="B16" t="s">
        <v>19</v>
      </c>
      <c r="O16" s="2">
        <v>4</v>
      </c>
      <c r="R16" s="2" t="s">
        <v>199</v>
      </c>
    </row>
    <row r="17" spans="1:18" x14ac:dyDescent="0.25">
      <c r="A17" s="2">
        <v>7</v>
      </c>
      <c r="B17" t="s">
        <v>20</v>
      </c>
      <c r="O17" s="2">
        <v>1</v>
      </c>
      <c r="R17" s="2" t="s">
        <v>200</v>
      </c>
    </row>
    <row r="18" spans="1:18" x14ac:dyDescent="0.25">
      <c r="A18" s="2">
        <v>8</v>
      </c>
      <c r="B18" t="s">
        <v>21</v>
      </c>
      <c r="O18" s="2">
        <v>3</v>
      </c>
      <c r="R18" s="2" t="s">
        <v>201</v>
      </c>
    </row>
    <row r="19" spans="1:18" x14ac:dyDescent="0.25">
      <c r="A19" s="2">
        <v>9</v>
      </c>
      <c r="B19" t="s">
        <v>22</v>
      </c>
      <c r="O19" s="2">
        <v>1</v>
      </c>
      <c r="R19" s="2" t="s">
        <v>202</v>
      </c>
    </row>
    <row r="20" spans="1:18" x14ac:dyDescent="0.25">
      <c r="A20" s="2">
        <v>10</v>
      </c>
      <c r="B20" t="s">
        <v>23</v>
      </c>
      <c r="O20" s="2">
        <v>3</v>
      </c>
      <c r="R20" s="2" t="s">
        <v>203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1</v>
      </c>
    </row>
    <row r="32" spans="1:18" x14ac:dyDescent="0.25">
      <c r="A32" s="2">
        <v>22</v>
      </c>
      <c r="B32" t="s">
        <v>36</v>
      </c>
      <c r="O32" s="2">
        <v>2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5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5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19</v>
      </c>
    </row>
    <row r="16" spans="1:21" x14ac:dyDescent="0.25">
      <c r="A16" s="2">
        <v>6</v>
      </c>
      <c r="B16" t="s">
        <v>19</v>
      </c>
      <c r="O16" s="2">
        <v>5</v>
      </c>
      <c r="R16" s="2" t="s">
        <v>204</v>
      </c>
    </row>
    <row r="17" spans="1:18" x14ac:dyDescent="0.25">
      <c r="A17" s="2">
        <v>7</v>
      </c>
      <c r="B17" t="s">
        <v>20</v>
      </c>
      <c r="O17" s="2">
        <v>1</v>
      </c>
      <c r="R17" s="2" t="s">
        <v>205</v>
      </c>
    </row>
    <row r="18" spans="1:18" x14ac:dyDescent="0.25">
      <c r="A18" s="2">
        <v>8</v>
      </c>
      <c r="B18" t="s">
        <v>21</v>
      </c>
      <c r="O18" s="2">
        <v>2</v>
      </c>
      <c r="R18" s="2" t="s">
        <v>206</v>
      </c>
    </row>
    <row r="19" spans="1:18" x14ac:dyDescent="0.25">
      <c r="A19" s="2">
        <v>9</v>
      </c>
      <c r="B19" t="s">
        <v>22</v>
      </c>
      <c r="O19" s="2">
        <v>1</v>
      </c>
      <c r="R19" s="2" t="s">
        <v>207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5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20</v>
      </c>
    </row>
    <row r="16" spans="1:21" x14ac:dyDescent="0.25">
      <c r="A16" s="2">
        <v>6</v>
      </c>
      <c r="B16" t="s">
        <v>19</v>
      </c>
      <c r="O16" s="2">
        <v>4</v>
      </c>
      <c r="R16" s="2" t="s">
        <v>208</v>
      </c>
    </row>
    <row r="17" spans="1:18" x14ac:dyDescent="0.25">
      <c r="A17" s="2">
        <v>7</v>
      </c>
      <c r="B17" t="s">
        <v>20</v>
      </c>
      <c r="O17" s="2">
        <v>2</v>
      </c>
      <c r="R17" s="2" t="s">
        <v>209</v>
      </c>
    </row>
    <row r="18" spans="1:18" x14ac:dyDescent="0.25">
      <c r="A18" s="2">
        <v>8</v>
      </c>
      <c r="B18" t="s">
        <v>21</v>
      </c>
      <c r="O18" s="2">
        <v>1</v>
      </c>
      <c r="R18" s="2" t="s">
        <v>210</v>
      </c>
    </row>
    <row r="19" spans="1:18" x14ac:dyDescent="0.25">
      <c r="A19" s="2">
        <v>9</v>
      </c>
      <c r="B19" t="s">
        <v>22</v>
      </c>
      <c r="O19" s="2">
        <v>1</v>
      </c>
      <c r="R19" s="2" t="s">
        <v>211</v>
      </c>
    </row>
    <row r="20" spans="1:18" x14ac:dyDescent="0.25">
      <c r="A20" s="2">
        <v>10</v>
      </c>
      <c r="B20" t="s">
        <v>23</v>
      </c>
      <c r="O20" s="2">
        <v>2</v>
      </c>
      <c r="R20" s="2" t="s">
        <v>212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5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21</v>
      </c>
    </row>
    <row r="16" spans="1:21" x14ac:dyDescent="0.25">
      <c r="A16" s="2">
        <v>6</v>
      </c>
      <c r="B16" t="s">
        <v>19</v>
      </c>
      <c r="O16" s="2">
        <v>1</v>
      </c>
      <c r="R16" s="2" t="s">
        <v>213</v>
      </c>
    </row>
    <row r="17" spans="1:18" x14ac:dyDescent="0.25">
      <c r="A17" s="2">
        <v>7</v>
      </c>
      <c r="B17" t="s">
        <v>20</v>
      </c>
      <c r="O17" s="2">
        <v>1</v>
      </c>
      <c r="R17" s="2" t="s">
        <v>214</v>
      </c>
    </row>
    <row r="18" spans="1:18" x14ac:dyDescent="0.25">
      <c r="A18" s="2">
        <v>8</v>
      </c>
      <c r="B18" t="s">
        <v>21</v>
      </c>
      <c r="O18" s="2">
        <v>1</v>
      </c>
      <c r="R18" s="2" t="s">
        <v>215</v>
      </c>
    </row>
    <row r="19" spans="1:18" x14ac:dyDescent="0.25">
      <c r="A19" s="2">
        <v>9</v>
      </c>
      <c r="B19" t="s">
        <v>22</v>
      </c>
      <c r="O19" s="2">
        <v>1</v>
      </c>
      <c r="R19" s="2" t="s">
        <v>216</v>
      </c>
    </row>
    <row r="20" spans="1:18" x14ac:dyDescent="0.25">
      <c r="A20" s="2">
        <v>10</v>
      </c>
      <c r="B20" t="s">
        <v>23</v>
      </c>
      <c r="O20" s="2">
        <v>3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7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5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17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2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5</v>
      </c>
      <c r="R15" s="9">
        <v>22</v>
      </c>
    </row>
    <row r="16" spans="1:21" x14ac:dyDescent="0.25">
      <c r="A16" s="2">
        <v>6</v>
      </c>
      <c r="B16" t="s">
        <v>19</v>
      </c>
      <c r="O16" s="2">
        <v>5</v>
      </c>
      <c r="R16" s="2" t="s">
        <v>217</v>
      </c>
    </row>
    <row r="17" spans="1:18" x14ac:dyDescent="0.25">
      <c r="A17" s="2">
        <v>7</v>
      </c>
      <c r="B17" t="s">
        <v>20</v>
      </c>
      <c r="O17" s="2">
        <v>2</v>
      </c>
      <c r="R17" s="2" t="s">
        <v>218</v>
      </c>
    </row>
    <row r="18" spans="1:18" x14ac:dyDescent="0.25">
      <c r="A18" s="2">
        <v>8</v>
      </c>
      <c r="B18" t="s">
        <v>21</v>
      </c>
      <c r="O18" s="2">
        <v>2</v>
      </c>
      <c r="R18" s="2" t="s">
        <v>219</v>
      </c>
    </row>
    <row r="19" spans="1:18" x14ac:dyDescent="0.25">
      <c r="A19" s="2">
        <v>9</v>
      </c>
      <c r="B19" t="s">
        <v>22</v>
      </c>
      <c r="O19" s="2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2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5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6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17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25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6</v>
      </c>
      <c r="R15" s="10">
        <v>23</v>
      </c>
    </row>
    <row r="16" spans="1:21" x14ac:dyDescent="0.25">
      <c r="A16" s="2">
        <v>6</v>
      </c>
      <c r="B16" t="s">
        <v>19</v>
      </c>
      <c r="O16" s="2">
        <v>4</v>
      </c>
      <c r="R16" s="2" t="s">
        <v>220</v>
      </c>
    </row>
    <row r="17" spans="1:18" x14ac:dyDescent="0.25">
      <c r="A17" s="2">
        <v>7</v>
      </c>
      <c r="B17" t="s">
        <v>20</v>
      </c>
      <c r="O17" s="2">
        <v>2</v>
      </c>
      <c r="R17" s="2" t="s">
        <v>221</v>
      </c>
    </row>
    <row r="18" spans="1:18" x14ac:dyDescent="0.25">
      <c r="A18" s="2">
        <v>8</v>
      </c>
      <c r="B18" t="s">
        <v>21</v>
      </c>
      <c r="O18" s="2">
        <v>2</v>
      </c>
      <c r="R18" s="2" t="s">
        <v>222</v>
      </c>
    </row>
    <row r="19" spans="1:18" x14ac:dyDescent="0.25">
      <c r="A19" s="2">
        <v>9</v>
      </c>
      <c r="B19" t="s">
        <v>22</v>
      </c>
      <c r="O19" s="2">
        <v>6</v>
      </c>
      <c r="R19" s="2" t="s">
        <v>122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122</v>
      </c>
    </row>
    <row r="21" spans="1:18" x14ac:dyDescent="0.25">
      <c r="A21" s="2">
        <v>11</v>
      </c>
      <c r="B21" t="s">
        <v>24</v>
      </c>
      <c r="O21" s="2">
        <v>5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6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4</v>
      </c>
    </row>
    <row r="34" spans="1:15" x14ac:dyDescent="0.25">
      <c r="A34" s="2">
        <v>24</v>
      </c>
      <c r="B34" t="s">
        <v>38</v>
      </c>
      <c r="O34" s="2">
        <v>7</v>
      </c>
    </row>
    <row r="35" spans="1:15" x14ac:dyDescent="0.25">
      <c r="A35" s="2">
        <v>25</v>
      </c>
      <c r="B35" t="s">
        <v>39</v>
      </c>
      <c r="O35" s="2">
        <v>4</v>
      </c>
    </row>
    <row r="36" spans="1:15" x14ac:dyDescent="0.25">
      <c r="A36" s="2">
        <v>26</v>
      </c>
      <c r="B36" t="s">
        <v>40</v>
      </c>
      <c r="O36" s="2">
        <v>5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6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24</v>
      </c>
    </row>
    <row r="16" spans="1:21" x14ac:dyDescent="0.25">
      <c r="A16" s="2">
        <v>6</v>
      </c>
      <c r="B16" t="s">
        <v>19</v>
      </c>
      <c r="O16" s="2">
        <v>1</v>
      </c>
      <c r="R16" s="2" t="s">
        <v>223</v>
      </c>
    </row>
    <row r="17" spans="1:18" x14ac:dyDescent="0.25">
      <c r="A17" s="2">
        <v>7</v>
      </c>
      <c r="B17" t="s">
        <v>20</v>
      </c>
      <c r="O17" s="2">
        <v>1</v>
      </c>
      <c r="R17" s="2" t="s">
        <v>224</v>
      </c>
    </row>
    <row r="18" spans="1:18" x14ac:dyDescent="0.25">
      <c r="A18" s="2">
        <v>8</v>
      </c>
      <c r="B18" t="s">
        <v>21</v>
      </c>
      <c r="O18" s="2">
        <v>1</v>
      </c>
      <c r="R18" s="2" t="s">
        <v>225</v>
      </c>
    </row>
    <row r="19" spans="1:18" x14ac:dyDescent="0.25">
      <c r="A19" s="2">
        <v>9</v>
      </c>
      <c r="B19" t="s">
        <v>22</v>
      </c>
      <c r="O19" s="2">
        <v>2</v>
      </c>
      <c r="R19" s="2" t="s">
        <v>226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5</v>
      </c>
      <c r="R15" s="10">
        <v>25</v>
      </c>
    </row>
    <row r="16" spans="1:21" x14ac:dyDescent="0.25">
      <c r="A16" s="2">
        <v>6</v>
      </c>
      <c r="B16" t="s">
        <v>19</v>
      </c>
      <c r="O16" s="2">
        <v>3</v>
      </c>
      <c r="R16" s="2" t="s">
        <v>227</v>
      </c>
    </row>
    <row r="17" spans="1:18" x14ac:dyDescent="0.25">
      <c r="A17" s="2">
        <v>7</v>
      </c>
      <c r="B17" t="s">
        <v>20</v>
      </c>
      <c r="O17" s="2">
        <v>1</v>
      </c>
      <c r="R17" s="2" t="s">
        <v>228</v>
      </c>
    </row>
    <row r="18" spans="1:18" x14ac:dyDescent="0.25">
      <c r="A18" s="2">
        <v>8</v>
      </c>
      <c r="B18" t="s">
        <v>21</v>
      </c>
      <c r="O18" s="2">
        <v>1</v>
      </c>
      <c r="R18" s="2" t="s">
        <v>229</v>
      </c>
    </row>
    <row r="19" spans="1:18" x14ac:dyDescent="0.25">
      <c r="A19" s="2">
        <v>9</v>
      </c>
      <c r="B19" t="s">
        <v>22</v>
      </c>
      <c r="O19" s="2">
        <v>3</v>
      </c>
      <c r="R19" s="2" t="s">
        <v>230</v>
      </c>
    </row>
    <row r="20" spans="1:18" x14ac:dyDescent="0.25">
      <c r="A20" s="2">
        <v>10</v>
      </c>
      <c r="B20" t="s">
        <v>23</v>
      </c>
      <c r="O20" s="2">
        <v>3</v>
      </c>
      <c r="R20" s="2" t="s">
        <v>231</v>
      </c>
    </row>
    <row r="21" spans="1:18" x14ac:dyDescent="0.25">
      <c r="A21" s="2">
        <v>11</v>
      </c>
      <c r="B21" t="s">
        <v>24</v>
      </c>
      <c r="O21" s="2">
        <v>7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4</v>
      </c>
    </row>
    <row r="27" spans="1:18" x14ac:dyDescent="0.25">
      <c r="A27" s="2">
        <v>17</v>
      </c>
      <c r="B27" t="s">
        <v>31</v>
      </c>
      <c r="O27" s="2">
        <v>4</v>
      </c>
    </row>
    <row r="28" spans="1:18" x14ac:dyDescent="0.25">
      <c r="A28" s="2">
        <v>18</v>
      </c>
      <c r="B28" t="s">
        <v>32</v>
      </c>
      <c r="O28" s="2">
        <v>3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21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5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7</v>
      </c>
      <c r="R13" s="8" t="s">
        <v>60</v>
      </c>
    </row>
    <row r="14" spans="1:21" x14ac:dyDescent="0.25">
      <c r="A14" s="2">
        <v>4</v>
      </c>
      <c r="B14" t="s">
        <v>18</v>
      </c>
      <c r="O14" s="2">
        <v>4</v>
      </c>
    </row>
    <row r="15" spans="1:21" x14ac:dyDescent="0.25">
      <c r="A15" s="2">
        <v>5</v>
      </c>
      <c r="B15" t="s">
        <v>27</v>
      </c>
      <c r="O15" s="2">
        <v>4</v>
      </c>
      <c r="R15" s="10">
        <v>26</v>
      </c>
    </row>
    <row r="16" spans="1:21" x14ac:dyDescent="0.25">
      <c r="A16" s="2">
        <v>6</v>
      </c>
      <c r="B16" t="s">
        <v>19</v>
      </c>
      <c r="O16" s="2">
        <v>3</v>
      </c>
      <c r="R16" s="2" t="s">
        <v>232</v>
      </c>
    </row>
    <row r="17" spans="1:18" x14ac:dyDescent="0.25">
      <c r="A17" s="2">
        <v>7</v>
      </c>
      <c r="B17" t="s">
        <v>20</v>
      </c>
      <c r="O17" s="2">
        <v>7</v>
      </c>
      <c r="R17" s="2" t="s">
        <v>233</v>
      </c>
    </row>
    <row r="18" spans="1:18" x14ac:dyDescent="0.25">
      <c r="A18" s="2">
        <v>8</v>
      </c>
      <c r="B18" t="s">
        <v>21</v>
      </c>
      <c r="O18" s="2">
        <v>4</v>
      </c>
      <c r="R18" s="2" t="s">
        <v>234</v>
      </c>
    </row>
    <row r="19" spans="1:18" x14ac:dyDescent="0.25">
      <c r="A19" s="2">
        <v>9</v>
      </c>
      <c r="B19" t="s">
        <v>22</v>
      </c>
      <c r="O19" s="2">
        <v>4</v>
      </c>
      <c r="R19" s="2" t="s">
        <v>235</v>
      </c>
    </row>
    <row r="20" spans="1:18" x14ac:dyDescent="0.25">
      <c r="A20" s="2">
        <v>10</v>
      </c>
      <c r="B20" t="s">
        <v>23</v>
      </c>
      <c r="O20" s="2">
        <v>4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4</v>
      </c>
      <c r="R21" s="10"/>
    </row>
    <row r="22" spans="1:18" x14ac:dyDescent="0.25">
      <c r="A22" s="2">
        <v>12</v>
      </c>
      <c r="B22" t="s">
        <v>25</v>
      </c>
      <c r="O22" s="2">
        <v>3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5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5</v>
      </c>
    </row>
    <row r="31" spans="1:18" x14ac:dyDescent="0.25">
      <c r="A31" s="2">
        <v>21</v>
      </c>
      <c r="B31" t="s">
        <v>35</v>
      </c>
      <c r="O31" s="2">
        <v>5</v>
      </c>
    </row>
    <row r="32" spans="1:18" x14ac:dyDescent="0.25">
      <c r="A32" s="2">
        <v>22</v>
      </c>
      <c r="B32" t="s">
        <v>36</v>
      </c>
      <c r="O32" s="2">
        <v>6</v>
      </c>
    </row>
    <row r="33" spans="1:15" x14ac:dyDescent="0.25">
      <c r="A33" s="2">
        <v>23</v>
      </c>
      <c r="B33" t="s">
        <v>37</v>
      </c>
      <c r="O33" s="2">
        <v>7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4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4</v>
      </c>
    </row>
    <row r="39" spans="1:15" x14ac:dyDescent="0.25">
      <c r="A39" s="2">
        <v>29</v>
      </c>
      <c r="B39" t="s">
        <v>43</v>
      </c>
      <c r="O39" s="2">
        <v>6</v>
      </c>
    </row>
    <row r="40" spans="1:15" x14ac:dyDescent="0.25">
      <c r="A40" s="2">
        <v>30</v>
      </c>
      <c r="B40" t="s">
        <v>44</v>
      </c>
      <c r="O40" s="2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19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3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3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1</v>
      </c>
      <c r="R15" s="9">
        <v>27</v>
      </c>
    </row>
    <row r="16" spans="1:21" x14ac:dyDescent="0.25">
      <c r="A16" s="2">
        <v>6</v>
      </c>
      <c r="B16" t="s">
        <v>19</v>
      </c>
      <c r="O16" s="2">
        <v>2</v>
      </c>
      <c r="R16" s="2" t="s">
        <v>236</v>
      </c>
    </row>
    <row r="17" spans="1:18" x14ac:dyDescent="0.25">
      <c r="A17" s="2">
        <v>7</v>
      </c>
      <c r="B17" t="s">
        <v>20</v>
      </c>
      <c r="O17" s="2">
        <v>2</v>
      </c>
      <c r="R17" s="2" t="s">
        <v>237</v>
      </c>
    </row>
    <row r="18" spans="1:18" x14ac:dyDescent="0.25">
      <c r="A18" s="2">
        <v>8</v>
      </c>
      <c r="B18" t="s">
        <v>21</v>
      </c>
      <c r="O18" s="2">
        <v>5</v>
      </c>
      <c r="R18" s="2" t="s">
        <v>238</v>
      </c>
    </row>
    <row r="19" spans="1:18" x14ac:dyDescent="0.25">
      <c r="A19" s="2">
        <v>9</v>
      </c>
      <c r="B19" t="s">
        <v>22</v>
      </c>
      <c r="O19" s="2">
        <v>3</v>
      </c>
      <c r="R19" s="2" t="s">
        <v>211</v>
      </c>
    </row>
    <row r="20" spans="1:18" x14ac:dyDescent="0.25">
      <c r="A20" s="2">
        <v>10</v>
      </c>
      <c r="B20" t="s">
        <v>23</v>
      </c>
      <c r="O20" s="2">
        <v>4</v>
      </c>
      <c r="R20" s="2" t="s">
        <v>239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2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5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2</v>
      </c>
    </row>
    <row r="30" spans="1:18" x14ac:dyDescent="0.25">
      <c r="A30" s="2">
        <v>20</v>
      </c>
      <c r="B30" t="s">
        <v>34</v>
      </c>
      <c r="O30" s="2">
        <v>5</v>
      </c>
    </row>
    <row r="31" spans="1:18" x14ac:dyDescent="0.25">
      <c r="A31" s="2">
        <v>21</v>
      </c>
      <c r="B31" t="s">
        <v>35</v>
      </c>
      <c r="O31" s="2">
        <v>5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2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6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27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2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1</v>
      </c>
      <c r="R15" s="10">
        <v>28</v>
      </c>
    </row>
    <row r="16" spans="1:21" x14ac:dyDescent="0.25">
      <c r="A16" s="2">
        <v>6</v>
      </c>
      <c r="B16" t="s">
        <v>19</v>
      </c>
      <c r="O16" s="2">
        <v>6</v>
      </c>
      <c r="R16" s="2" t="s">
        <v>240</v>
      </c>
    </row>
    <row r="17" spans="1:18" x14ac:dyDescent="0.25">
      <c r="A17" s="2">
        <v>7</v>
      </c>
      <c r="B17" t="s">
        <v>20</v>
      </c>
      <c r="O17" s="2">
        <v>2</v>
      </c>
      <c r="R17" s="2" t="s">
        <v>241</v>
      </c>
    </row>
    <row r="18" spans="1:18" x14ac:dyDescent="0.25">
      <c r="A18" s="2">
        <v>8</v>
      </c>
      <c r="B18" t="s">
        <v>21</v>
      </c>
      <c r="O18" s="2">
        <v>3</v>
      </c>
      <c r="R18" s="2" t="s">
        <v>242</v>
      </c>
    </row>
    <row r="19" spans="1:18" x14ac:dyDescent="0.25">
      <c r="A19" s="2">
        <v>9</v>
      </c>
      <c r="B19" t="s">
        <v>22</v>
      </c>
      <c r="O19" s="2">
        <v>3</v>
      </c>
      <c r="R19" s="2" t="s">
        <v>243</v>
      </c>
    </row>
    <row r="20" spans="1:18" x14ac:dyDescent="0.25">
      <c r="A20" s="2">
        <v>10</v>
      </c>
      <c r="B20" t="s">
        <v>23</v>
      </c>
      <c r="O20" s="2">
        <v>2</v>
      </c>
      <c r="R20" s="2" t="s">
        <v>244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6</v>
      </c>
    </row>
    <row r="23" spans="1:18" x14ac:dyDescent="0.25">
      <c r="A23" s="2">
        <v>13</v>
      </c>
      <c r="B23" t="s">
        <v>26</v>
      </c>
      <c r="O23" s="2">
        <v>4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5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3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6</v>
      </c>
    </row>
    <row r="33" spans="1:15" x14ac:dyDescent="0.25">
      <c r="A33" s="2">
        <v>23</v>
      </c>
      <c r="B33" t="s">
        <v>37</v>
      </c>
      <c r="O33" s="2">
        <v>3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4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6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9">
        <v>29</v>
      </c>
    </row>
    <row r="16" spans="1:21" x14ac:dyDescent="0.25">
      <c r="A16" s="2">
        <v>6</v>
      </c>
      <c r="B16" t="s">
        <v>19</v>
      </c>
      <c r="O16" s="2">
        <v>1</v>
      </c>
      <c r="R16" s="2" t="s">
        <v>245</v>
      </c>
    </row>
    <row r="17" spans="1:18" x14ac:dyDescent="0.25">
      <c r="A17" s="2">
        <v>7</v>
      </c>
      <c r="B17" t="s">
        <v>20</v>
      </c>
      <c r="O17" s="2">
        <v>1</v>
      </c>
      <c r="R17" s="2" t="s">
        <v>246</v>
      </c>
    </row>
    <row r="18" spans="1:18" x14ac:dyDescent="0.25">
      <c r="A18" s="2">
        <v>8</v>
      </c>
      <c r="B18" t="s">
        <v>21</v>
      </c>
      <c r="O18" s="2">
        <v>1</v>
      </c>
      <c r="R18" s="2" t="s">
        <v>247</v>
      </c>
    </row>
    <row r="19" spans="1:18" x14ac:dyDescent="0.25">
      <c r="A19" s="2">
        <v>9</v>
      </c>
      <c r="B19" t="s">
        <v>22</v>
      </c>
      <c r="O19" s="2">
        <v>1</v>
      </c>
      <c r="R19" s="2" t="s">
        <v>248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2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2</v>
      </c>
    </row>
    <row r="32" spans="1:18" x14ac:dyDescent="0.25">
      <c r="A32" s="2">
        <v>22</v>
      </c>
      <c r="B32" t="s">
        <v>36</v>
      </c>
      <c r="O32" s="2">
        <v>4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3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9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30</v>
      </c>
    </row>
    <row r="16" spans="1:21" x14ac:dyDescent="0.25">
      <c r="A16" s="2">
        <v>6</v>
      </c>
      <c r="B16" t="s">
        <v>19</v>
      </c>
      <c r="O16" s="2">
        <v>1</v>
      </c>
      <c r="R16" s="2" t="s">
        <v>249</v>
      </c>
    </row>
    <row r="17" spans="1:18" x14ac:dyDescent="0.25">
      <c r="A17" s="2">
        <v>7</v>
      </c>
      <c r="B17" t="s">
        <v>20</v>
      </c>
      <c r="O17" s="2">
        <v>1</v>
      </c>
      <c r="R17" s="2" t="s">
        <v>250</v>
      </c>
    </row>
    <row r="18" spans="1:18" x14ac:dyDescent="0.25">
      <c r="A18" s="2">
        <v>8</v>
      </c>
      <c r="B18" t="s">
        <v>21</v>
      </c>
      <c r="O18" s="2">
        <v>1</v>
      </c>
      <c r="R18" s="2" t="s">
        <v>251</v>
      </c>
    </row>
    <row r="19" spans="1:18" x14ac:dyDescent="0.25">
      <c r="A19" s="2">
        <v>9</v>
      </c>
      <c r="B19" t="s">
        <v>22</v>
      </c>
      <c r="O19" s="2">
        <v>1</v>
      </c>
      <c r="R19" s="2" t="s">
        <v>126</v>
      </c>
    </row>
    <row r="20" spans="1:18" x14ac:dyDescent="0.25">
      <c r="A20" s="2">
        <v>10</v>
      </c>
      <c r="B20" t="s">
        <v>23</v>
      </c>
      <c r="O20" s="2">
        <v>1</v>
      </c>
      <c r="R20" s="2" t="s">
        <v>252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2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1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16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4</v>
      </c>
      <c r="R11" s="8" t="s">
        <v>58</v>
      </c>
    </row>
    <row r="12" spans="1:21" x14ac:dyDescent="0.25">
      <c r="A12" s="2">
        <v>2</v>
      </c>
      <c r="B12" t="s">
        <v>16</v>
      </c>
      <c r="O12" s="2">
        <v>3</v>
      </c>
      <c r="R12" s="8" t="s">
        <v>59</v>
      </c>
    </row>
    <row r="13" spans="1:21" x14ac:dyDescent="0.25">
      <c r="A13" s="2">
        <v>3</v>
      </c>
      <c r="B13" t="s">
        <v>17</v>
      </c>
      <c r="O13" s="2">
        <v>2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3</v>
      </c>
      <c r="R15" s="10">
        <v>31</v>
      </c>
    </row>
    <row r="16" spans="1:21" x14ac:dyDescent="0.25">
      <c r="A16" s="2">
        <v>6</v>
      </c>
      <c r="B16" t="s">
        <v>19</v>
      </c>
      <c r="O16" s="2">
        <v>2</v>
      </c>
      <c r="R16" s="2" t="s">
        <v>253</v>
      </c>
    </row>
    <row r="17" spans="1:18" x14ac:dyDescent="0.25">
      <c r="A17" s="2">
        <v>7</v>
      </c>
      <c r="B17" t="s">
        <v>20</v>
      </c>
      <c r="O17" s="2">
        <v>2</v>
      </c>
      <c r="R17" s="2" t="s">
        <v>254</v>
      </c>
    </row>
    <row r="18" spans="1:18" x14ac:dyDescent="0.25">
      <c r="A18" s="2">
        <v>8</v>
      </c>
      <c r="B18" t="s">
        <v>21</v>
      </c>
      <c r="O18" s="2">
        <v>2</v>
      </c>
      <c r="R18" s="2" t="s">
        <v>255</v>
      </c>
    </row>
    <row r="19" spans="1:18" x14ac:dyDescent="0.25">
      <c r="A19" s="2">
        <v>9</v>
      </c>
      <c r="B19" t="s">
        <v>22</v>
      </c>
      <c r="O19" s="2">
        <v>2</v>
      </c>
      <c r="R19" s="2" t="s">
        <v>256</v>
      </c>
    </row>
    <row r="20" spans="1:18" x14ac:dyDescent="0.25">
      <c r="A20" s="2">
        <v>10</v>
      </c>
      <c r="B20" t="s">
        <v>23</v>
      </c>
      <c r="O20" s="2">
        <v>2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3</v>
      </c>
      <c r="R21" s="10"/>
    </row>
    <row r="22" spans="1:18" x14ac:dyDescent="0.25">
      <c r="A22" s="2">
        <v>12</v>
      </c>
      <c r="B22" t="s">
        <v>25</v>
      </c>
      <c r="O22" s="2">
        <v>3</v>
      </c>
    </row>
    <row r="23" spans="1:18" x14ac:dyDescent="0.25">
      <c r="A23" s="2">
        <v>13</v>
      </c>
      <c r="B23" t="s">
        <v>26</v>
      </c>
      <c r="O23" s="2">
        <v>3</v>
      </c>
    </row>
    <row r="24" spans="1:18" x14ac:dyDescent="0.25">
      <c r="A24" s="2">
        <v>14</v>
      </c>
      <c r="B24" t="s">
        <v>28</v>
      </c>
      <c r="O24" s="2">
        <v>2</v>
      </c>
    </row>
    <row r="25" spans="1:18" x14ac:dyDescent="0.25">
      <c r="A25" s="2">
        <v>15</v>
      </c>
      <c r="B25" t="s">
        <v>29</v>
      </c>
      <c r="O25" s="2">
        <v>2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3</v>
      </c>
    </row>
    <row r="28" spans="1:18" x14ac:dyDescent="0.25">
      <c r="A28" s="2">
        <v>18</v>
      </c>
      <c r="B28" t="s">
        <v>32</v>
      </c>
      <c r="O28" s="2">
        <v>3</v>
      </c>
    </row>
    <row r="29" spans="1:18" x14ac:dyDescent="0.25">
      <c r="A29" s="2">
        <v>19</v>
      </c>
      <c r="B29" t="s">
        <v>33</v>
      </c>
      <c r="O29" s="2">
        <v>3</v>
      </c>
    </row>
    <row r="30" spans="1:18" x14ac:dyDescent="0.25">
      <c r="A30" s="2">
        <v>20</v>
      </c>
      <c r="B30" t="s">
        <v>34</v>
      </c>
      <c r="O30" s="2">
        <v>2</v>
      </c>
    </row>
    <row r="31" spans="1:18" x14ac:dyDescent="0.25">
      <c r="A31" s="2">
        <v>21</v>
      </c>
      <c r="B31" t="s">
        <v>35</v>
      </c>
      <c r="O31" s="2">
        <v>3</v>
      </c>
    </row>
    <row r="32" spans="1:18" x14ac:dyDescent="0.25">
      <c r="A32" s="2">
        <v>22</v>
      </c>
      <c r="B32" t="s">
        <v>36</v>
      </c>
      <c r="O32" s="2">
        <v>3</v>
      </c>
    </row>
    <row r="33" spans="1:15" x14ac:dyDescent="0.25">
      <c r="A33" s="2">
        <v>23</v>
      </c>
      <c r="B33" t="s">
        <v>37</v>
      </c>
      <c r="O33" s="2">
        <v>4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3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3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18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20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29</v>
      </c>
      <c r="U5" s="3" t="s">
        <v>64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25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6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6</v>
      </c>
    </row>
    <row r="15" spans="1:21" x14ac:dyDescent="0.25">
      <c r="A15" s="2">
        <v>5</v>
      </c>
      <c r="B15" t="s">
        <v>27</v>
      </c>
      <c r="O15" s="11">
        <v>4</v>
      </c>
      <c r="R15" s="10">
        <v>32</v>
      </c>
    </row>
    <row r="16" spans="1:21" x14ac:dyDescent="0.25">
      <c r="A16" s="2">
        <v>6</v>
      </c>
      <c r="B16" t="s">
        <v>19</v>
      </c>
      <c r="O16" s="11">
        <v>3</v>
      </c>
      <c r="R16" s="2" t="s">
        <v>257</v>
      </c>
    </row>
    <row r="17" spans="1:18" x14ac:dyDescent="0.25">
      <c r="A17" s="2">
        <v>7</v>
      </c>
      <c r="B17" t="s">
        <v>20</v>
      </c>
      <c r="O17" s="11">
        <v>3</v>
      </c>
      <c r="R17" s="2" t="s">
        <v>258</v>
      </c>
    </row>
    <row r="18" spans="1:18" x14ac:dyDescent="0.25">
      <c r="A18" s="2">
        <v>8</v>
      </c>
      <c r="B18" t="s">
        <v>21</v>
      </c>
      <c r="O18" s="11">
        <v>2</v>
      </c>
      <c r="R18" s="2" t="s">
        <v>259</v>
      </c>
    </row>
    <row r="19" spans="1:18" x14ac:dyDescent="0.25">
      <c r="A19" s="2">
        <v>9</v>
      </c>
      <c r="B19" t="s">
        <v>22</v>
      </c>
      <c r="O19" s="11">
        <v>2</v>
      </c>
      <c r="R19" s="2" t="s">
        <v>174</v>
      </c>
    </row>
    <row r="20" spans="1:18" x14ac:dyDescent="0.25">
      <c r="A20" s="2">
        <v>10</v>
      </c>
      <c r="B20" t="s">
        <v>23</v>
      </c>
      <c r="O20" s="11">
        <v>6</v>
      </c>
      <c r="R20" s="2" t="s">
        <v>137</v>
      </c>
    </row>
    <row r="21" spans="1:18" x14ac:dyDescent="0.25">
      <c r="A21" s="2">
        <v>11</v>
      </c>
      <c r="B21" t="s">
        <v>24</v>
      </c>
      <c r="O21" s="11">
        <v>6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6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6</v>
      </c>
    </row>
    <row r="38" spans="1:15" x14ac:dyDescent="0.25">
      <c r="A38" s="2">
        <v>28</v>
      </c>
      <c r="B38" t="s">
        <v>42</v>
      </c>
      <c r="O38" s="11">
        <v>6</v>
      </c>
    </row>
    <row r="39" spans="1:15" x14ac:dyDescent="0.25">
      <c r="A39" s="2">
        <v>29</v>
      </c>
      <c r="B39" t="s">
        <v>43</v>
      </c>
      <c r="O39" s="11">
        <v>5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33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260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261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262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263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264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17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2</v>
      </c>
      <c r="R12" s="8" t="s">
        <v>59</v>
      </c>
    </row>
    <row r="13" spans="1:21" x14ac:dyDescent="0.25">
      <c r="A13" s="2">
        <v>3</v>
      </c>
      <c r="B13" t="s">
        <v>17</v>
      </c>
      <c r="O13" s="2">
        <v>4</v>
      </c>
      <c r="R13" s="8" t="s">
        <v>60</v>
      </c>
    </row>
    <row r="14" spans="1:21" x14ac:dyDescent="0.25">
      <c r="A14" s="2">
        <v>4</v>
      </c>
      <c r="B14" t="s">
        <v>18</v>
      </c>
      <c r="O14" s="2">
        <v>2</v>
      </c>
    </row>
    <row r="15" spans="1:21" x14ac:dyDescent="0.25">
      <c r="A15" s="2">
        <v>5</v>
      </c>
      <c r="B15" t="s">
        <v>27</v>
      </c>
      <c r="O15" s="2">
        <v>6</v>
      </c>
      <c r="R15" s="10">
        <v>34</v>
      </c>
    </row>
    <row r="16" spans="1:21" x14ac:dyDescent="0.25">
      <c r="A16" s="2">
        <v>6</v>
      </c>
      <c r="B16" t="s">
        <v>19</v>
      </c>
      <c r="O16" s="2">
        <v>4</v>
      </c>
      <c r="R16" s="2" t="s">
        <v>265</v>
      </c>
    </row>
    <row r="17" spans="1:18" x14ac:dyDescent="0.25">
      <c r="A17" s="2">
        <v>7</v>
      </c>
      <c r="B17" t="s">
        <v>20</v>
      </c>
      <c r="O17" s="2">
        <v>7</v>
      </c>
      <c r="R17" s="2" t="s">
        <v>266</v>
      </c>
    </row>
    <row r="18" spans="1:18" x14ac:dyDescent="0.25">
      <c r="A18" s="2">
        <v>8</v>
      </c>
      <c r="B18" t="s">
        <v>21</v>
      </c>
      <c r="O18" s="2">
        <v>3</v>
      </c>
      <c r="R18" s="2" t="s">
        <v>267</v>
      </c>
    </row>
    <row r="19" spans="1:18" x14ac:dyDescent="0.25">
      <c r="A19" s="2">
        <v>9</v>
      </c>
      <c r="B19" t="s">
        <v>22</v>
      </c>
      <c r="O19" s="2">
        <v>2</v>
      </c>
      <c r="R19" s="2" t="s">
        <v>268</v>
      </c>
    </row>
    <row r="20" spans="1:18" x14ac:dyDescent="0.25">
      <c r="A20" s="2">
        <v>10</v>
      </c>
      <c r="B20" t="s">
        <v>23</v>
      </c>
      <c r="O20" s="2">
        <v>2</v>
      </c>
      <c r="R20" s="2" t="s">
        <v>269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7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6</v>
      </c>
    </row>
    <row r="25" spans="1:18" x14ac:dyDescent="0.25">
      <c r="A25" s="2">
        <v>15</v>
      </c>
      <c r="B25" t="s">
        <v>29</v>
      </c>
      <c r="O25" s="2">
        <v>4</v>
      </c>
    </row>
    <row r="26" spans="1:18" x14ac:dyDescent="0.25">
      <c r="A26" s="2">
        <v>16</v>
      </c>
      <c r="B26" t="s">
        <v>30</v>
      </c>
      <c r="O26" s="2">
        <v>5</v>
      </c>
    </row>
    <row r="27" spans="1:18" x14ac:dyDescent="0.25">
      <c r="A27" s="2">
        <v>17</v>
      </c>
      <c r="B27" t="s">
        <v>31</v>
      </c>
      <c r="O27" s="2">
        <v>6</v>
      </c>
    </row>
    <row r="28" spans="1:18" x14ac:dyDescent="0.25">
      <c r="A28" s="2">
        <v>18</v>
      </c>
      <c r="B28" t="s">
        <v>32</v>
      </c>
      <c r="O28" s="2">
        <v>4</v>
      </c>
    </row>
    <row r="29" spans="1:18" x14ac:dyDescent="0.25">
      <c r="A29" s="2">
        <v>19</v>
      </c>
      <c r="B29" t="s">
        <v>33</v>
      </c>
      <c r="O29" s="2">
        <v>4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6</v>
      </c>
    </row>
    <row r="34" spans="1:15" x14ac:dyDescent="0.25">
      <c r="A34" s="2">
        <v>24</v>
      </c>
      <c r="B34" t="s">
        <v>38</v>
      </c>
      <c r="O34" s="2">
        <v>4</v>
      </c>
    </row>
    <row r="35" spans="1:15" x14ac:dyDescent="0.25">
      <c r="A35" s="2">
        <v>25</v>
      </c>
      <c r="B35" t="s">
        <v>39</v>
      </c>
      <c r="O35" s="2">
        <v>3</v>
      </c>
    </row>
    <row r="36" spans="1:15" x14ac:dyDescent="0.25">
      <c r="A36" s="2">
        <v>26</v>
      </c>
      <c r="B36" t="s">
        <v>40</v>
      </c>
      <c r="O36" s="2">
        <v>6</v>
      </c>
    </row>
    <row r="37" spans="1:15" x14ac:dyDescent="0.25">
      <c r="A37" s="2">
        <v>27</v>
      </c>
      <c r="B37" t="s">
        <v>41</v>
      </c>
      <c r="O37" s="2">
        <v>4</v>
      </c>
    </row>
    <row r="38" spans="1:15" x14ac:dyDescent="0.25">
      <c r="A38" s="2">
        <v>28</v>
      </c>
      <c r="B38" t="s">
        <v>42</v>
      </c>
      <c r="O38" s="2">
        <v>3</v>
      </c>
    </row>
    <row r="39" spans="1:15" x14ac:dyDescent="0.25">
      <c r="A39" s="2">
        <v>29</v>
      </c>
      <c r="B39" t="s">
        <v>43</v>
      </c>
      <c r="O39" s="2">
        <v>4</v>
      </c>
    </row>
    <row r="40" spans="1:15" x14ac:dyDescent="0.25">
      <c r="A40" s="2">
        <v>30</v>
      </c>
      <c r="B40" t="s">
        <v>44</v>
      </c>
      <c r="O40" s="2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35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270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271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272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66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141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19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25</v>
      </c>
      <c r="U5" s="3" t="s">
        <v>64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29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6</v>
      </c>
    </row>
    <row r="15" spans="1:21" x14ac:dyDescent="0.25">
      <c r="A15" s="2">
        <v>5</v>
      </c>
      <c r="B15" t="s">
        <v>27</v>
      </c>
      <c r="O15" s="11">
        <v>3</v>
      </c>
      <c r="R15" s="10">
        <v>36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273</v>
      </c>
    </row>
    <row r="17" spans="1:18" x14ac:dyDescent="0.25">
      <c r="A17" s="2">
        <v>7</v>
      </c>
      <c r="B17" t="s">
        <v>20</v>
      </c>
      <c r="O17" s="11">
        <v>6</v>
      </c>
      <c r="R17" s="11" t="s">
        <v>274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275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276</v>
      </c>
    </row>
    <row r="20" spans="1:18" x14ac:dyDescent="0.25">
      <c r="A20" s="2">
        <v>10</v>
      </c>
      <c r="B20" t="s">
        <v>23</v>
      </c>
      <c r="O20" s="11">
        <v>5</v>
      </c>
      <c r="R20" s="11" t="s">
        <v>161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6</v>
      </c>
    </row>
    <row r="32" spans="1:18" x14ac:dyDescent="0.25">
      <c r="A32" s="2">
        <v>22</v>
      </c>
      <c r="B32" t="s">
        <v>36</v>
      </c>
      <c r="O32" s="11">
        <v>7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21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6</v>
      </c>
      <c r="R15" s="10">
        <v>37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277</v>
      </c>
    </row>
    <row r="17" spans="1:18" x14ac:dyDescent="0.25">
      <c r="A17" s="2">
        <v>7</v>
      </c>
      <c r="B17" t="s">
        <v>20</v>
      </c>
      <c r="O17" s="11">
        <v>5</v>
      </c>
      <c r="R17" s="11" t="s">
        <v>278</v>
      </c>
    </row>
    <row r="18" spans="1:18" x14ac:dyDescent="0.25">
      <c r="A18" s="2">
        <v>8</v>
      </c>
      <c r="B18" t="s">
        <v>21</v>
      </c>
      <c r="O18" s="11">
        <v>4</v>
      </c>
      <c r="R18" s="11" t="s">
        <v>279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5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2</v>
      </c>
      <c r="R15" s="10">
        <v>38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280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281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282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283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284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39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285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286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287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131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1</v>
      </c>
      <c r="R11" s="8" t="s">
        <v>58</v>
      </c>
    </row>
    <row r="12" spans="1:21" x14ac:dyDescent="0.25">
      <c r="A12" s="2">
        <v>2</v>
      </c>
      <c r="B12" t="s">
        <v>16</v>
      </c>
      <c r="O12" s="2">
        <v>1</v>
      </c>
      <c r="R12" s="8" t="s">
        <v>59</v>
      </c>
    </row>
    <row r="13" spans="1:21" x14ac:dyDescent="0.25">
      <c r="A13" s="2">
        <v>3</v>
      </c>
      <c r="B13" t="s">
        <v>17</v>
      </c>
      <c r="O13" s="2">
        <v>1</v>
      </c>
      <c r="R13" s="8" t="s">
        <v>60</v>
      </c>
    </row>
    <row r="14" spans="1:21" x14ac:dyDescent="0.25">
      <c r="A14" s="2">
        <v>4</v>
      </c>
      <c r="B14" t="s">
        <v>18</v>
      </c>
      <c r="O14" s="2">
        <v>1</v>
      </c>
    </row>
    <row r="15" spans="1:21" x14ac:dyDescent="0.25">
      <c r="A15" s="2">
        <v>5</v>
      </c>
      <c r="B15" t="s">
        <v>27</v>
      </c>
      <c r="O15" s="2">
        <v>1</v>
      </c>
      <c r="R15" s="10">
        <v>40</v>
      </c>
    </row>
    <row r="16" spans="1:21" x14ac:dyDescent="0.25">
      <c r="A16" s="2">
        <v>6</v>
      </c>
      <c r="B16" t="s">
        <v>19</v>
      </c>
      <c r="O16" s="2">
        <v>1</v>
      </c>
      <c r="R16" s="2" t="s">
        <v>288</v>
      </c>
    </row>
    <row r="17" spans="1:18" x14ac:dyDescent="0.25">
      <c r="A17" s="2">
        <v>7</v>
      </c>
      <c r="B17" t="s">
        <v>20</v>
      </c>
      <c r="O17" s="2">
        <v>1</v>
      </c>
      <c r="R17" s="2" t="s">
        <v>289</v>
      </c>
    </row>
    <row r="18" spans="1:18" x14ac:dyDescent="0.25">
      <c r="A18" s="2">
        <v>8</v>
      </c>
      <c r="B18" t="s">
        <v>21</v>
      </c>
      <c r="O18" s="2">
        <v>1</v>
      </c>
      <c r="R18" s="2" t="s">
        <v>290</v>
      </c>
    </row>
    <row r="19" spans="1:18" x14ac:dyDescent="0.25">
      <c r="A19" s="2">
        <v>9</v>
      </c>
      <c r="B19" t="s">
        <v>22</v>
      </c>
      <c r="O19" s="2">
        <v>1</v>
      </c>
      <c r="R19" s="2" t="s">
        <v>291</v>
      </c>
    </row>
    <row r="20" spans="1:18" x14ac:dyDescent="0.25">
      <c r="A20" s="2">
        <v>10</v>
      </c>
      <c r="B20" t="s">
        <v>23</v>
      </c>
      <c r="O20" s="2">
        <v>1</v>
      </c>
      <c r="R20" s="2" t="s">
        <v>137</v>
      </c>
    </row>
    <row r="21" spans="1:18" x14ac:dyDescent="0.25">
      <c r="A21" s="2">
        <v>11</v>
      </c>
      <c r="B21" t="s">
        <v>24</v>
      </c>
      <c r="O21" s="2">
        <v>1</v>
      </c>
      <c r="R21" s="10"/>
    </row>
    <row r="22" spans="1:18" x14ac:dyDescent="0.25">
      <c r="A22" s="2">
        <v>12</v>
      </c>
      <c r="B22" t="s">
        <v>25</v>
      </c>
      <c r="O22" s="2">
        <v>1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1</v>
      </c>
    </row>
    <row r="26" spans="1:18" x14ac:dyDescent="0.25">
      <c r="A26" s="2">
        <v>16</v>
      </c>
      <c r="B26" t="s">
        <v>30</v>
      </c>
      <c r="O26" s="2">
        <v>1</v>
      </c>
    </row>
    <row r="27" spans="1:18" x14ac:dyDescent="0.25">
      <c r="A27" s="2">
        <v>17</v>
      </c>
      <c r="B27" t="s">
        <v>31</v>
      </c>
      <c r="O27" s="2">
        <v>1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1</v>
      </c>
    </row>
    <row r="32" spans="1:18" x14ac:dyDescent="0.25">
      <c r="A32" s="2">
        <v>22</v>
      </c>
      <c r="B32" t="s">
        <v>36</v>
      </c>
      <c r="O32" s="2">
        <v>1</v>
      </c>
    </row>
    <row r="33" spans="1:15" x14ac:dyDescent="0.25">
      <c r="A33" s="2">
        <v>23</v>
      </c>
      <c r="B33" t="s">
        <v>37</v>
      </c>
      <c r="O33" s="2">
        <v>1</v>
      </c>
    </row>
    <row r="34" spans="1:15" x14ac:dyDescent="0.25">
      <c r="A34" s="2">
        <v>24</v>
      </c>
      <c r="B34" t="s">
        <v>38</v>
      </c>
      <c r="O34" s="2">
        <v>1</v>
      </c>
    </row>
    <row r="35" spans="1:15" x14ac:dyDescent="0.25">
      <c r="A35" s="2">
        <v>25</v>
      </c>
      <c r="B35" t="s">
        <v>39</v>
      </c>
      <c r="O35" s="2">
        <v>1</v>
      </c>
    </row>
    <row r="36" spans="1:15" x14ac:dyDescent="0.25">
      <c r="A36" s="2">
        <v>26</v>
      </c>
      <c r="B36" t="s">
        <v>40</v>
      </c>
      <c r="O36" s="2">
        <v>1</v>
      </c>
    </row>
    <row r="37" spans="1:15" x14ac:dyDescent="0.25">
      <c r="A37" s="2">
        <v>27</v>
      </c>
      <c r="B37" t="s">
        <v>41</v>
      </c>
      <c r="O37" s="2">
        <v>1</v>
      </c>
    </row>
    <row r="38" spans="1:15" x14ac:dyDescent="0.25">
      <c r="A38" s="2">
        <v>28</v>
      </c>
      <c r="B38" t="s">
        <v>42</v>
      </c>
      <c r="O38" s="2">
        <v>1</v>
      </c>
    </row>
    <row r="39" spans="1:15" x14ac:dyDescent="0.25">
      <c r="A39" s="2">
        <v>29</v>
      </c>
      <c r="B39" t="s">
        <v>43</v>
      </c>
      <c r="O39" s="2">
        <v>1</v>
      </c>
    </row>
    <row r="40" spans="1:15" x14ac:dyDescent="0.25">
      <c r="A40" s="2">
        <v>30</v>
      </c>
      <c r="B40" t="s">
        <v>44</v>
      </c>
      <c r="O40" s="2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41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292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293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294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295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132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42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296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297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298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6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43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299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300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301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302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6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44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303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304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305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306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141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22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20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5</v>
      </c>
    </row>
    <row r="15" spans="1:21" x14ac:dyDescent="0.25">
      <c r="A15" s="2">
        <v>5</v>
      </c>
      <c r="B15" t="s">
        <v>27</v>
      </c>
      <c r="O15" s="11">
        <v>5</v>
      </c>
      <c r="R15" s="10">
        <v>45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307</v>
      </c>
    </row>
    <row r="17" spans="1:18" x14ac:dyDescent="0.25">
      <c r="A17" s="2">
        <v>7</v>
      </c>
      <c r="B17" t="s">
        <v>20</v>
      </c>
      <c r="O17" s="11">
        <v>5</v>
      </c>
      <c r="R17" s="11" t="s">
        <v>308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309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5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6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6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6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</sheetPr>
  <dimension ref="A1:U1048576"/>
  <sheetViews>
    <sheetView zoomScale="80" zoomScaleNormal="80" workbookViewId="0">
      <selection activeCell="O8" sqref="O8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46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310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311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312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18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26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6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47</v>
      </c>
    </row>
    <row r="16" spans="1:21" x14ac:dyDescent="0.25">
      <c r="A16" s="2">
        <v>6</v>
      </c>
      <c r="B16" t="s">
        <v>19</v>
      </c>
      <c r="O16" s="11">
        <v>6</v>
      </c>
      <c r="R16" s="11" t="s">
        <v>313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314</v>
      </c>
    </row>
    <row r="18" spans="1:18" x14ac:dyDescent="0.25">
      <c r="A18" s="2">
        <v>8</v>
      </c>
      <c r="B18" t="s">
        <v>21</v>
      </c>
      <c r="O18" s="11">
        <v>5</v>
      </c>
      <c r="R18" s="11" t="s">
        <v>315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65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316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16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27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2</v>
      </c>
      <c r="R15" s="10">
        <v>48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317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318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319</v>
      </c>
    </row>
    <row r="19" spans="1:18" x14ac:dyDescent="0.25">
      <c r="A19" s="2">
        <v>9</v>
      </c>
      <c r="B19" t="s">
        <v>22</v>
      </c>
      <c r="O19" s="11">
        <v>5</v>
      </c>
      <c r="R19" s="11" t="s">
        <v>178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320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5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5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7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7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49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321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322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323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324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161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7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7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50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325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326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327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328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194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4</v>
      </c>
      <c r="R15" s="10">
        <v>51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329</v>
      </c>
    </row>
    <row r="17" spans="1:18" x14ac:dyDescent="0.25">
      <c r="A17" s="2">
        <v>7</v>
      </c>
      <c r="B17" t="s">
        <v>20</v>
      </c>
      <c r="O17" s="11">
        <v>3</v>
      </c>
      <c r="R17" s="11" t="s">
        <v>330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331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147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264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52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332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333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334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6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53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335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336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337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338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264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9">
        <v>54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339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340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341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342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343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55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344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345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346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347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348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19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17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4</v>
      </c>
      <c r="R15" s="10">
        <v>56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349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350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351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352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5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5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57</v>
      </c>
    </row>
    <row r="16" spans="1:21" x14ac:dyDescent="0.25">
      <c r="A16" s="2">
        <v>6</v>
      </c>
      <c r="B16" t="s">
        <v>19</v>
      </c>
      <c r="O16" s="11">
        <v>1</v>
      </c>
      <c r="R16" s="2" t="s">
        <v>353</v>
      </c>
    </row>
    <row r="17" spans="1:18" x14ac:dyDescent="0.25">
      <c r="A17" s="2">
        <v>7</v>
      </c>
      <c r="B17" t="s">
        <v>20</v>
      </c>
      <c r="O17" s="11">
        <v>1</v>
      </c>
      <c r="R17" s="2" t="s">
        <v>354</v>
      </c>
    </row>
    <row r="18" spans="1:18" x14ac:dyDescent="0.25">
      <c r="A18" s="2">
        <v>8</v>
      </c>
      <c r="B18" t="s">
        <v>21</v>
      </c>
      <c r="O18" s="11">
        <v>1</v>
      </c>
      <c r="R18" s="2" t="s">
        <v>355</v>
      </c>
    </row>
    <row r="19" spans="1:18" x14ac:dyDescent="0.25">
      <c r="A19" s="2">
        <v>9</v>
      </c>
      <c r="B19" t="s">
        <v>22</v>
      </c>
      <c r="O19" s="11">
        <v>1</v>
      </c>
      <c r="R19" s="2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2" t="s">
        <v>356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58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357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358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359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126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360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59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361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362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18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60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364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365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366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61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367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368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370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371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5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62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372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373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374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3</v>
      </c>
      <c r="R15" s="10">
        <v>63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375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376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377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352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64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378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379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380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9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2</v>
      </c>
      <c r="R15" s="10">
        <v>65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381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382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383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384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385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66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386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387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388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389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67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390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391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392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67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393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19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19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27</v>
      </c>
      <c r="U4" s="3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5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4</v>
      </c>
      <c r="R15" s="10">
        <v>68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394</v>
      </c>
    </row>
    <row r="17" spans="1:18" x14ac:dyDescent="0.25">
      <c r="A17" s="2">
        <v>7</v>
      </c>
      <c r="B17" t="s">
        <v>20</v>
      </c>
      <c r="O17" s="11">
        <v>5</v>
      </c>
      <c r="R17" s="11" t="s">
        <v>395</v>
      </c>
    </row>
    <row r="18" spans="1:18" x14ac:dyDescent="0.25">
      <c r="A18" s="2">
        <v>8</v>
      </c>
      <c r="B18" t="s">
        <v>21</v>
      </c>
      <c r="O18" s="11">
        <v>4</v>
      </c>
      <c r="R18" s="11" t="s">
        <v>396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397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6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6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6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7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19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16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17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4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9">
        <v>69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398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399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400</v>
      </c>
    </row>
    <row r="19" spans="1:18" x14ac:dyDescent="0.25">
      <c r="A19" s="2">
        <v>9</v>
      </c>
      <c r="B19" t="s">
        <v>22</v>
      </c>
      <c r="O19" s="11">
        <v>5</v>
      </c>
      <c r="R19" s="11" t="s">
        <v>126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127</v>
      </c>
    </row>
    <row r="21" spans="1:18" x14ac:dyDescent="0.25">
      <c r="A21" s="2">
        <v>11</v>
      </c>
      <c r="B21" t="s">
        <v>24</v>
      </c>
      <c r="O21" s="11">
        <v>1</v>
      </c>
      <c r="R21" s="9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5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6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6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6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7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>SUM(O11,O17,O23,O29,O35)</f>
        <v>16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ref="T3:T7" si="0">SUM(O12,O18,O24,O30,O36)</f>
        <v>16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2</v>
      </c>
      <c r="R15" s="10">
        <v>70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401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402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403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404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4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5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7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71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406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407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408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409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371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1</v>
      </c>
      <c r="R15" s="10">
        <v>72</v>
      </c>
    </row>
    <row r="16" spans="1:21" x14ac:dyDescent="0.25">
      <c r="A16" s="2">
        <v>6</v>
      </c>
      <c r="B16" t="s">
        <v>19</v>
      </c>
      <c r="O16" s="11">
        <v>6</v>
      </c>
      <c r="R16" s="11" t="s">
        <v>410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411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412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413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414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13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73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415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416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417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418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194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6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5</v>
      </c>
    </row>
    <row r="38" spans="1:15" x14ac:dyDescent="0.25">
      <c r="A38" s="2">
        <v>28</v>
      </c>
      <c r="B38" t="s">
        <v>42</v>
      </c>
      <c r="O38" s="11">
        <v>5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74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419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420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421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422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6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2</v>
      </c>
      <c r="R15" s="10">
        <v>75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423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424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425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169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426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7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17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23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29</v>
      </c>
      <c r="U5" s="3" t="s">
        <v>64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29</v>
      </c>
      <c r="U6" s="3" t="s">
        <v>64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29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7</v>
      </c>
    </row>
    <row r="15" spans="1:21" x14ac:dyDescent="0.25">
      <c r="A15" s="2">
        <v>5</v>
      </c>
      <c r="B15" t="s">
        <v>27</v>
      </c>
      <c r="O15" s="11">
        <v>7</v>
      </c>
      <c r="R15" s="10">
        <v>76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427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428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429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430</v>
      </c>
    </row>
    <row r="20" spans="1:18" x14ac:dyDescent="0.25">
      <c r="A20" s="2">
        <v>10</v>
      </c>
      <c r="B20" t="s">
        <v>23</v>
      </c>
      <c r="O20" s="11">
        <v>7</v>
      </c>
      <c r="R20" s="11" t="s">
        <v>431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7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7</v>
      </c>
    </row>
    <row r="26" spans="1:18" x14ac:dyDescent="0.25">
      <c r="A26" s="2">
        <v>16</v>
      </c>
      <c r="B26" t="s">
        <v>30</v>
      </c>
      <c r="O26" s="11">
        <v>7</v>
      </c>
    </row>
    <row r="27" spans="1:18" x14ac:dyDescent="0.25">
      <c r="A27" s="2">
        <v>17</v>
      </c>
      <c r="B27" t="s">
        <v>31</v>
      </c>
      <c r="O27" s="11">
        <v>7</v>
      </c>
    </row>
    <row r="28" spans="1:18" x14ac:dyDescent="0.25">
      <c r="A28" s="2">
        <v>18</v>
      </c>
      <c r="B28" t="s">
        <v>32</v>
      </c>
      <c r="O28" s="11">
        <v>7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7</v>
      </c>
    </row>
    <row r="31" spans="1:18" x14ac:dyDescent="0.25">
      <c r="A31" s="2">
        <v>21</v>
      </c>
      <c r="B31" t="s">
        <v>35</v>
      </c>
      <c r="O31" s="11">
        <v>7</v>
      </c>
    </row>
    <row r="32" spans="1:18" x14ac:dyDescent="0.25">
      <c r="A32" s="2">
        <v>22</v>
      </c>
      <c r="B32" t="s">
        <v>36</v>
      </c>
      <c r="O32" s="11">
        <v>7</v>
      </c>
    </row>
    <row r="33" spans="1:15" x14ac:dyDescent="0.25">
      <c r="A33" s="2">
        <v>23</v>
      </c>
      <c r="B33" t="s">
        <v>37</v>
      </c>
      <c r="O33" s="11">
        <v>7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7</v>
      </c>
    </row>
    <row r="37" spans="1:15" x14ac:dyDescent="0.25">
      <c r="A37" s="2">
        <v>27</v>
      </c>
      <c r="B37" t="s">
        <v>41</v>
      </c>
      <c r="O37" s="11">
        <v>7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7</v>
      </c>
    </row>
    <row r="40" spans="1:15" x14ac:dyDescent="0.25">
      <c r="A40" s="2">
        <v>30</v>
      </c>
      <c r="B40" t="s">
        <v>44</v>
      </c>
      <c r="O40" s="11">
        <v>7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77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432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433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434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183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231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18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5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78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435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436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437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141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142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9">
        <v>79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438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439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440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tabColor rgb="FFFF000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21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80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441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442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443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444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8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81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445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446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447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178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448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5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82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450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451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452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453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414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83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454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455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456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5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6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84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457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458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459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203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1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9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7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85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460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461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462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9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10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86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463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464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465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256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3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4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2">
        <v>2</v>
      </c>
      <c r="R11" s="8" t="s">
        <v>58</v>
      </c>
    </row>
    <row r="12" spans="1:21" x14ac:dyDescent="0.25">
      <c r="A12" s="2">
        <v>2</v>
      </c>
      <c r="B12" t="s">
        <v>16</v>
      </c>
      <c r="O12" s="2">
        <v>4</v>
      </c>
      <c r="R12" s="8" t="s">
        <v>59</v>
      </c>
    </row>
    <row r="13" spans="1:21" x14ac:dyDescent="0.25">
      <c r="A13" s="2">
        <v>3</v>
      </c>
      <c r="B13" t="s">
        <v>17</v>
      </c>
      <c r="O13" s="2">
        <v>5</v>
      </c>
      <c r="R13" s="8" t="s">
        <v>60</v>
      </c>
    </row>
    <row r="14" spans="1:21" x14ac:dyDescent="0.25">
      <c r="A14" s="2">
        <v>4</v>
      </c>
      <c r="B14" t="s">
        <v>18</v>
      </c>
      <c r="O14" s="2">
        <v>3</v>
      </c>
    </row>
    <row r="15" spans="1:21" x14ac:dyDescent="0.25">
      <c r="A15" s="2">
        <v>5</v>
      </c>
      <c r="B15" t="s">
        <v>27</v>
      </c>
      <c r="O15" s="2">
        <v>2</v>
      </c>
      <c r="R15" s="10">
        <v>87</v>
      </c>
    </row>
    <row r="16" spans="1:21" x14ac:dyDescent="0.25">
      <c r="A16" s="2">
        <v>6</v>
      </c>
      <c r="B16" t="s">
        <v>19</v>
      </c>
      <c r="O16" s="2">
        <v>5</v>
      </c>
      <c r="R16" s="11" t="s">
        <v>466</v>
      </c>
    </row>
    <row r="17" spans="1:18" x14ac:dyDescent="0.25">
      <c r="A17" s="2">
        <v>7</v>
      </c>
      <c r="B17" t="s">
        <v>20</v>
      </c>
      <c r="O17" s="2">
        <v>1</v>
      </c>
      <c r="R17" s="11" t="s">
        <v>467</v>
      </c>
    </row>
    <row r="18" spans="1:18" x14ac:dyDescent="0.25">
      <c r="A18" s="2">
        <v>8</v>
      </c>
      <c r="B18" t="s">
        <v>21</v>
      </c>
      <c r="O18" s="2">
        <v>1</v>
      </c>
      <c r="R18" s="11" t="s">
        <v>468</v>
      </c>
    </row>
    <row r="19" spans="1:18" x14ac:dyDescent="0.25">
      <c r="A19" s="2">
        <v>9</v>
      </c>
      <c r="B19" t="s">
        <v>22</v>
      </c>
      <c r="O19" s="2">
        <v>3</v>
      </c>
      <c r="R19" s="11" t="s">
        <v>469</v>
      </c>
    </row>
    <row r="20" spans="1:18" x14ac:dyDescent="0.25">
      <c r="A20" s="2">
        <v>10</v>
      </c>
      <c r="B20" t="s">
        <v>23</v>
      </c>
      <c r="O20" s="2">
        <v>2</v>
      </c>
      <c r="R20" s="11" t="s">
        <v>470</v>
      </c>
    </row>
    <row r="21" spans="1:18" x14ac:dyDescent="0.25">
      <c r="A21" s="2">
        <v>11</v>
      </c>
      <c r="B21" t="s">
        <v>24</v>
      </c>
      <c r="O21" s="2">
        <v>2</v>
      </c>
      <c r="R21" s="10"/>
    </row>
    <row r="22" spans="1:18" x14ac:dyDescent="0.25">
      <c r="A22" s="2">
        <v>12</v>
      </c>
      <c r="B22" t="s">
        <v>25</v>
      </c>
      <c r="O22" s="2">
        <v>4</v>
      </c>
    </row>
    <row r="23" spans="1:18" x14ac:dyDescent="0.25">
      <c r="A23" s="2">
        <v>13</v>
      </c>
      <c r="B23" t="s">
        <v>26</v>
      </c>
      <c r="O23" s="2">
        <v>1</v>
      </c>
    </row>
    <row r="24" spans="1:18" x14ac:dyDescent="0.25">
      <c r="A24" s="2">
        <v>14</v>
      </c>
      <c r="B24" t="s">
        <v>28</v>
      </c>
      <c r="O24" s="2">
        <v>1</v>
      </c>
    </row>
    <row r="25" spans="1:18" x14ac:dyDescent="0.25">
      <c r="A25" s="2">
        <v>15</v>
      </c>
      <c r="B25" t="s">
        <v>29</v>
      </c>
      <c r="O25" s="2">
        <v>3</v>
      </c>
    </row>
    <row r="26" spans="1:18" x14ac:dyDescent="0.25">
      <c r="A26" s="2">
        <v>16</v>
      </c>
      <c r="B26" t="s">
        <v>30</v>
      </c>
      <c r="O26" s="2">
        <v>3</v>
      </c>
    </row>
    <row r="27" spans="1:18" x14ac:dyDescent="0.25">
      <c r="A27" s="2">
        <v>17</v>
      </c>
      <c r="B27" t="s">
        <v>31</v>
      </c>
      <c r="O27" s="2">
        <v>2</v>
      </c>
    </row>
    <row r="28" spans="1:18" x14ac:dyDescent="0.25">
      <c r="A28" s="2">
        <v>18</v>
      </c>
      <c r="B28" t="s">
        <v>32</v>
      </c>
      <c r="O28" s="2">
        <v>1</v>
      </c>
    </row>
    <row r="29" spans="1:18" x14ac:dyDescent="0.25">
      <c r="A29" s="2">
        <v>19</v>
      </c>
      <c r="B29" t="s">
        <v>33</v>
      </c>
      <c r="O29" s="2">
        <v>1</v>
      </c>
    </row>
    <row r="30" spans="1:18" x14ac:dyDescent="0.25">
      <c r="A30" s="2">
        <v>20</v>
      </c>
      <c r="B30" t="s">
        <v>34</v>
      </c>
      <c r="O30" s="2">
        <v>1</v>
      </c>
    </row>
    <row r="31" spans="1:18" x14ac:dyDescent="0.25">
      <c r="A31" s="2">
        <v>21</v>
      </c>
      <c r="B31" t="s">
        <v>35</v>
      </c>
      <c r="O31" s="2">
        <v>4</v>
      </c>
    </row>
    <row r="32" spans="1:18" x14ac:dyDescent="0.25">
      <c r="A32" s="2">
        <v>22</v>
      </c>
      <c r="B32" t="s">
        <v>36</v>
      </c>
      <c r="O32" s="2">
        <v>5</v>
      </c>
    </row>
    <row r="33" spans="1:15" x14ac:dyDescent="0.25">
      <c r="A33" s="2">
        <v>23</v>
      </c>
      <c r="B33" t="s">
        <v>37</v>
      </c>
      <c r="O33" s="2">
        <v>2</v>
      </c>
    </row>
    <row r="34" spans="1:15" x14ac:dyDescent="0.25">
      <c r="A34" s="2">
        <v>24</v>
      </c>
      <c r="B34" t="s">
        <v>38</v>
      </c>
      <c r="O34" s="2">
        <v>3</v>
      </c>
    </row>
    <row r="35" spans="1:15" x14ac:dyDescent="0.25">
      <c r="A35" s="2">
        <v>25</v>
      </c>
      <c r="B35" t="s">
        <v>39</v>
      </c>
      <c r="O35" s="2">
        <v>2</v>
      </c>
    </row>
    <row r="36" spans="1:15" x14ac:dyDescent="0.25">
      <c r="A36" s="2">
        <v>26</v>
      </c>
      <c r="B36" t="s">
        <v>40</v>
      </c>
      <c r="O36" s="2">
        <v>2</v>
      </c>
    </row>
    <row r="37" spans="1:15" x14ac:dyDescent="0.25">
      <c r="A37" s="2">
        <v>27</v>
      </c>
      <c r="B37" t="s">
        <v>41</v>
      </c>
      <c r="O37" s="2">
        <v>2</v>
      </c>
    </row>
    <row r="38" spans="1:15" x14ac:dyDescent="0.25">
      <c r="A38" s="2">
        <v>28</v>
      </c>
      <c r="B38" t="s">
        <v>42</v>
      </c>
      <c r="O38" s="2">
        <v>2</v>
      </c>
    </row>
    <row r="39" spans="1:15" x14ac:dyDescent="0.25">
      <c r="A39" s="2">
        <v>29</v>
      </c>
      <c r="B39" t="s">
        <v>43</v>
      </c>
      <c r="O39" s="2">
        <v>2</v>
      </c>
    </row>
    <row r="40" spans="1:15" x14ac:dyDescent="0.25">
      <c r="A40" s="2">
        <v>30</v>
      </c>
      <c r="B40" t="s">
        <v>44</v>
      </c>
      <c r="O40" s="2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88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471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472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473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9">
        <v>89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475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476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477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478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tabColor rgb="FF00B05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15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5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90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479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480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481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482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6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tabColor theme="7"/>
  </sheetPr>
  <dimension ref="A1:U1048576"/>
  <sheetViews>
    <sheetView topLeftCell="D1"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12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91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483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484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485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231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92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486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487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488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489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6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14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3</v>
      </c>
      <c r="R15" s="10">
        <v>93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490</v>
      </c>
    </row>
    <row r="17" spans="1:18" x14ac:dyDescent="0.25">
      <c r="A17" s="2">
        <v>7</v>
      </c>
      <c r="B17" t="s">
        <v>20</v>
      </c>
      <c r="O17" s="11">
        <v>3</v>
      </c>
      <c r="R17" s="11" t="s">
        <v>491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492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7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5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7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8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7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5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94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493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494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366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495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1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95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496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497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498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499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7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5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6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21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6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4</v>
      </c>
      <c r="R15" s="10">
        <v>96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500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501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502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174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5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7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6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97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503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504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505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116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5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6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5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5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6</v>
      </c>
      <c r="U7" s="3" t="s">
        <v>63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1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98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506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507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508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1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1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1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7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10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27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9">
        <v>99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509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510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511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512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393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tabColor theme="7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12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14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16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15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3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3</v>
      </c>
      <c r="R15" s="10">
        <v>100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513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514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515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516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284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3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2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17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12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33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7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101</v>
      </c>
    </row>
    <row r="16" spans="1:21" x14ac:dyDescent="0.25">
      <c r="A16" s="2">
        <v>6</v>
      </c>
      <c r="B16" t="s">
        <v>19</v>
      </c>
      <c r="O16" s="11">
        <v>7</v>
      </c>
      <c r="R16" s="11" t="s">
        <v>517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518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519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520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521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7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6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1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8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9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7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1</v>
      </c>
      <c r="R15" s="10">
        <v>102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522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523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524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525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526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4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2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tabColor theme="4" tint="0.39997558519241921"/>
  </sheetPr>
  <dimension ref="A1:U1048576"/>
  <sheetViews>
    <sheetView zoomScale="80" zoomScaleNormal="80" workbookViewId="0">
      <selection activeCell="L18" sqref="L18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10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14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16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13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9</v>
      </c>
      <c r="U7" s="3" t="s">
        <v>63</v>
      </c>
    </row>
    <row r="8" spans="1:21" x14ac:dyDescent="0.25">
      <c r="A8" s="2">
        <v>6</v>
      </c>
      <c r="B8" t="s">
        <v>13</v>
      </c>
      <c r="U8" s="12"/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3</v>
      </c>
      <c r="R15" s="10">
        <v>103</v>
      </c>
    </row>
    <row r="16" spans="1:21" x14ac:dyDescent="0.25">
      <c r="A16" s="2">
        <v>6</v>
      </c>
      <c r="B16" t="s">
        <v>19</v>
      </c>
      <c r="O16" s="11">
        <v>2</v>
      </c>
      <c r="R16" s="11" t="s">
        <v>527</v>
      </c>
    </row>
    <row r="17" spans="1:18" x14ac:dyDescent="0.25">
      <c r="A17" s="2">
        <v>7</v>
      </c>
      <c r="B17" t="s">
        <v>20</v>
      </c>
      <c r="O17" s="11">
        <v>3</v>
      </c>
      <c r="R17" s="11" t="s">
        <v>528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529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530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531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1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1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10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25</v>
      </c>
      <c r="U4" s="3" t="s">
        <v>64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19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10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14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6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2</v>
      </c>
      <c r="R15" s="9">
        <v>104</v>
      </c>
    </row>
    <row r="16" spans="1:21" x14ac:dyDescent="0.25">
      <c r="A16" s="2">
        <v>6</v>
      </c>
      <c r="B16" t="s">
        <v>19</v>
      </c>
      <c r="O16" s="11">
        <v>1</v>
      </c>
      <c r="R16" s="11" t="s">
        <v>532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533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534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535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142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6</v>
      </c>
    </row>
    <row r="32" spans="1:18" x14ac:dyDescent="0.25">
      <c r="A32" s="2">
        <v>22</v>
      </c>
      <c r="B32" t="s">
        <v>36</v>
      </c>
      <c r="O32" s="11">
        <v>5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6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6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12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13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11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13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2</v>
      </c>
      <c r="R15" s="10">
        <v>105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537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538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539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540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7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2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11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25</v>
      </c>
      <c r="U7" s="3" t="s">
        <v>64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2</v>
      </c>
    </row>
    <row r="15" spans="1:21" x14ac:dyDescent="0.25">
      <c r="A15" s="2">
        <v>5</v>
      </c>
      <c r="B15" t="s">
        <v>27</v>
      </c>
      <c r="O15" s="11">
        <v>3</v>
      </c>
      <c r="R15" s="10">
        <v>106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542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543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544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545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5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3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2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4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21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15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107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546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547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548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4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3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5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13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14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20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21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17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16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2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3</v>
      </c>
    </row>
    <row r="15" spans="1:21" x14ac:dyDescent="0.25">
      <c r="A15" s="2">
        <v>5</v>
      </c>
      <c r="B15" t="s">
        <v>27</v>
      </c>
      <c r="O15" s="11">
        <v>3</v>
      </c>
      <c r="R15" s="10">
        <v>108</v>
      </c>
    </row>
    <row r="16" spans="1:21" x14ac:dyDescent="0.25">
      <c r="A16" s="2">
        <v>6</v>
      </c>
      <c r="B16" t="s">
        <v>19</v>
      </c>
      <c r="O16" s="11">
        <v>3</v>
      </c>
      <c r="R16" s="11" t="s">
        <v>549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550</v>
      </c>
    </row>
    <row r="18" spans="1:18" x14ac:dyDescent="0.25">
      <c r="A18" s="2">
        <v>8</v>
      </c>
      <c r="B18" t="s">
        <v>21</v>
      </c>
      <c r="O18" s="11">
        <v>4</v>
      </c>
      <c r="R18" s="11" t="s">
        <v>551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552</v>
      </c>
    </row>
    <row r="20" spans="1:18" x14ac:dyDescent="0.25">
      <c r="A20" s="2">
        <v>10</v>
      </c>
      <c r="B20" t="s">
        <v>23</v>
      </c>
      <c r="O20" s="11">
        <v>5</v>
      </c>
      <c r="R20" s="11" t="s">
        <v>553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2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6</v>
      </c>
    </row>
    <row r="27" spans="1:18" x14ac:dyDescent="0.25">
      <c r="A27" s="2">
        <v>17</v>
      </c>
      <c r="B27" t="s">
        <v>31</v>
      </c>
      <c r="O27" s="11">
        <v>5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3</v>
      </c>
    </row>
    <row r="34" spans="1:15" x14ac:dyDescent="0.25">
      <c r="A34" s="2">
        <v>24</v>
      </c>
      <c r="B34" t="s">
        <v>38</v>
      </c>
      <c r="O34" s="11">
        <v>3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3</v>
      </c>
    </row>
    <row r="39" spans="1:15" x14ac:dyDescent="0.25">
      <c r="A39" s="2">
        <v>29</v>
      </c>
      <c r="B39" t="s">
        <v>43</v>
      </c>
      <c r="O39" s="11">
        <v>3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11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15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5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1</v>
      </c>
      <c r="R15" s="9">
        <v>109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554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555</v>
      </c>
    </row>
    <row r="18" spans="1:18" x14ac:dyDescent="0.25">
      <c r="A18" s="2">
        <v>8</v>
      </c>
      <c r="B18" t="s">
        <v>21</v>
      </c>
      <c r="O18" s="11">
        <v>5</v>
      </c>
      <c r="R18" s="11" t="s">
        <v>556</v>
      </c>
    </row>
    <row r="19" spans="1:18" x14ac:dyDescent="0.25">
      <c r="A19" s="2">
        <v>9</v>
      </c>
      <c r="B19" t="s">
        <v>22</v>
      </c>
      <c r="O19" s="11">
        <v>4</v>
      </c>
      <c r="R19" s="11" t="s">
        <v>557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558</v>
      </c>
    </row>
    <row r="21" spans="1:18" x14ac:dyDescent="0.25">
      <c r="A21" s="2">
        <v>11</v>
      </c>
      <c r="B21" t="s">
        <v>24</v>
      </c>
      <c r="O21" s="11">
        <v>3</v>
      </c>
      <c r="R21" s="10"/>
    </row>
    <row r="22" spans="1:18" x14ac:dyDescent="0.25">
      <c r="A22" s="2">
        <v>12</v>
      </c>
      <c r="B22" t="s">
        <v>25</v>
      </c>
      <c r="O22" s="11">
        <v>6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2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1</v>
      </c>
    </row>
    <row r="29" spans="1:18" x14ac:dyDescent="0.25">
      <c r="A29" s="2">
        <v>19</v>
      </c>
      <c r="B29" t="s">
        <v>33</v>
      </c>
      <c r="O29" s="11">
        <v>1</v>
      </c>
    </row>
    <row r="30" spans="1:18" x14ac:dyDescent="0.25">
      <c r="A30" s="2">
        <v>20</v>
      </c>
      <c r="B30" t="s">
        <v>34</v>
      </c>
      <c r="O30" s="11">
        <v>2</v>
      </c>
    </row>
    <row r="31" spans="1:18" x14ac:dyDescent="0.25">
      <c r="A31" s="2">
        <v>21</v>
      </c>
      <c r="B31" t="s">
        <v>35</v>
      </c>
      <c r="O31" s="11">
        <v>1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5</v>
      </c>
    </row>
    <row r="35" spans="1:15" x14ac:dyDescent="0.25">
      <c r="A35" s="2">
        <v>25</v>
      </c>
      <c r="B35" t="s">
        <v>39</v>
      </c>
      <c r="O35" s="11">
        <v>4</v>
      </c>
    </row>
    <row r="36" spans="1:15" x14ac:dyDescent="0.25">
      <c r="A36" s="2">
        <v>26</v>
      </c>
      <c r="B36" t="s">
        <v>40</v>
      </c>
      <c r="O36" s="11">
        <v>2</v>
      </c>
    </row>
    <row r="37" spans="1:15" x14ac:dyDescent="0.25">
      <c r="A37" s="2">
        <v>27</v>
      </c>
      <c r="B37" t="s">
        <v>41</v>
      </c>
      <c r="O37" s="11">
        <v>3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2</v>
      </c>
    </row>
    <row r="40" spans="1:15" x14ac:dyDescent="0.25">
      <c r="A40" s="2">
        <v>30</v>
      </c>
      <c r="B40" t="s">
        <v>44</v>
      </c>
      <c r="O40" s="11">
        <v>5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tabColor theme="4" tint="0.39997558519241921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15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12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17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17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14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3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1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110</v>
      </c>
    </row>
    <row r="16" spans="1:21" x14ac:dyDescent="0.25">
      <c r="A16" s="2">
        <v>6</v>
      </c>
      <c r="B16" t="s">
        <v>19</v>
      </c>
      <c r="O16" s="11">
        <v>5</v>
      </c>
      <c r="R16" s="11" t="s">
        <v>559</v>
      </c>
    </row>
    <row r="17" spans="1:18" x14ac:dyDescent="0.25">
      <c r="A17" s="2">
        <v>7</v>
      </c>
      <c r="B17" t="s">
        <v>20</v>
      </c>
      <c r="O17" s="11">
        <v>2</v>
      </c>
      <c r="R17" s="11" t="s">
        <v>560</v>
      </c>
    </row>
    <row r="18" spans="1:18" x14ac:dyDescent="0.25">
      <c r="A18" s="2">
        <v>8</v>
      </c>
      <c r="B18" t="s">
        <v>21</v>
      </c>
      <c r="O18" s="11">
        <v>2</v>
      </c>
      <c r="R18" s="11" t="s">
        <v>561</v>
      </c>
    </row>
    <row r="19" spans="1:18" x14ac:dyDescent="0.25">
      <c r="A19" s="2">
        <v>9</v>
      </c>
      <c r="B19" t="s">
        <v>22</v>
      </c>
      <c r="O19" s="11">
        <v>2</v>
      </c>
      <c r="R19" s="11" t="s">
        <v>562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137</v>
      </c>
    </row>
    <row r="21" spans="1:18" x14ac:dyDescent="0.25">
      <c r="A21" s="2">
        <v>11</v>
      </c>
      <c r="B21" t="s">
        <v>24</v>
      </c>
      <c r="O21" s="11">
        <v>1</v>
      </c>
      <c r="R21" s="10"/>
    </row>
    <row r="22" spans="1:18" x14ac:dyDescent="0.25">
      <c r="A22" s="2">
        <v>12</v>
      </c>
      <c r="B22" t="s">
        <v>25</v>
      </c>
      <c r="O22" s="11">
        <v>2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5</v>
      </c>
    </row>
    <row r="26" spans="1:18" x14ac:dyDescent="0.25">
      <c r="A26" s="2">
        <v>16</v>
      </c>
      <c r="B26" t="s">
        <v>30</v>
      </c>
      <c r="O26" s="11">
        <v>5</v>
      </c>
    </row>
    <row r="27" spans="1:18" x14ac:dyDescent="0.25">
      <c r="A27" s="2">
        <v>17</v>
      </c>
      <c r="B27" t="s">
        <v>31</v>
      </c>
      <c r="O27" s="11">
        <v>4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4</v>
      </c>
    </row>
    <row r="30" spans="1:18" x14ac:dyDescent="0.25">
      <c r="A30" s="2">
        <v>20</v>
      </c>
      <c r="B30" t="s">
        <v>34</v>
      </c>
      <c r="O30" s="11">
        <v>1</v>
      </c>
    </row>
    <row r="31" spans="1:18" x14ac:dyDescent="0.25">
      <c r="A31" s="2">
        <v>21</v>
      </c>
      <c r="B31" t="s">
        <v>35</v>
      </c>
      <c r="O31" s="11">
        <v>4</v>
      </c>
    </row>
    <row r="32" spans="1:18" x14ac:dyDescent="0.25">
      <c r="A32" s="2">
        <v>22</v>
      </c>
      <c r="B32" t="s">
        <v>36</v>
      </c>
      <c r="O32" s="11">
        <v>4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7</v>
      </c>
    </row>
    <row r="35" spans="1:15" x14ac:dyDescent="0.25">
      <c r="A35" s="2">
        <v>25</v>
      </c>
      <c r="B35" t="s">
        <v>39</v>
      </c>
      <c r="O35" s="11">
        <v>2</v>
      </c>
    </row>
    <row r="36" spans="1:15" x14ac:dyDescent="0.25">
      <c r="A36" s="2">
        <v>26</v>
      </c>
      <c r="B36" t="s">
        <v>40</v>
      </c>
      <c r="O36" s="11">
        <v>5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3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tabColor rgb="FF7030A0"/>
  </sheetPr>
  <dimension ref="A1:U1048576"/>
  <sheetViews>
    <sheetView zoomScale="80" zoomScaleNormal="80" workbookViewId="0">
      <selection activeCell="T2" sqref="T2:T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 t="shared" ref="T2:T7" si="0">SUM(O11,O17,O23,O29,O35)</f>
        <v>6</v>
      </c>
      <c r="U2" s="3" t="s">
        <v>63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si="0"/>
        <v>8</v>
      </c>
      <c r="U3" s="3" t="s">
        <v>63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9</v>
      </c>
      <c r="U4" s="3" t="s">
        <v>63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8</v>
      </c>
      <c r="U5" s="3" t="s">
        <v>63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8</v>
      </c>
      <c r="U6" s="3" t="s">
        <v>63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22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1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2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2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1</v>
      </c>
    </row>
    <row r="15" spans="1:21" x14ac:dyDescent="0.25">
      <c r="A15" s="2">
        <v>5</v>
      </c>
      <c r="B15" t="s">
        <v>27</v>
      </c>
      <c r="O15" s="11">
        <v>1</v>
      </c>
      <c r="R15" s="10">
        <v>111</v>
      </c>
    </row>
    <row r="16" spans="1:21" x14ac:dyDescent="0.25">
      <c r="A16" s="2">
        <v>6</v>
      </c>
      <c r="B16" t="s">
        <v>19</v>
      </c>
      <c r="O16" s="11">
        <v>6</v>
      </c>
      <c r="R16" s="11" t="s">
        <v>563</v>
      </c>
    </row>
    <row r="17" spans="1:18" x14ac:dyDescent="0.25">
      <c r="A17" s="2">
        <v>7</v>
      </c>
      <c r="B17" t="s">
        <v>20</v>
      </c>
      <c r="O17" s="11">
        <v>1</v>
      </c>
      <c r="R17" s="11" t="s">
        <v>564</v>
      </c>
    </row>
    <row r="18" spans="1:18" x14ac:dyDescent="0.25">
      <c r="A18" s="2">
        <v>8</v>
      </c>
      <c r="B18" t="s">
        <v>21</v>
      </c>
      <c r="O18" s="11">
        <v>1</v>
      </c>
      <c r="R18" s="11" t="s">
        <v>565</v>
      </c>
    </row>
    <row r="19" spans="1:18" x14ac:dyDescent="0.25">
      <c r="A19" s="2">
        <v>9</v>
      </c>
      <c r="B19" t="s">
        <v>22</v>
      </c>
      <c r="O19" s="11">
        <v>1</v>
      </c>
      <c r="R19" s="11" t="s">
        <v>211</v>
      </c>
    </row>
    <row r="20" spans="1:18" x14ac:dyDescent="0.25">
      <c r="A20" s="2">
        <v>10</v>
      </c>
      <c r="B20" t="s">
        <v>23</v>
      </c>
      <c r="O20" s="11">
        <v>2</v>
      </c>
      <c r="R20" s="11" t="s">
        <v>405</v>
      </c>
    </row>
    <row r="21" spans="1:18" x14ac:dyDescent="0.25">
      <c r="A21" s="2">
        <v>11</v>
      </c>
      <c r="B21" t="s">
        <v>24</v>
      </c>
      <c r="O21" s="11">
        <v>4</v>
      </c>
      <c r="R21" s="10"/>
    </row>
    <row r="22" spans="1:18" x14ac:dyDescent="0.25">
      <c r="A22" s="2">
        <v>12</v>
      </c>
      <c r="B22" t="s">
        <v>25</v>
      </c>
      <c r="O22" s="11">
        <v>7</v>
      </c>
    </row>
    <row r="23" spans="1:18" x14ac:dyDescent="0.25">
      <c r="A23" s="2">
        <v>13</v>
      </c>
      <c r="B23" t="s">
        <v>26</v>
      </c>
      <c r="O23" s="11">
        <v>1</v>
      </c>
    </row>
    <row r="24" spans="1:18" x14ac:dyDescent="0.25">
      <c r="A24" s="2">
        <v>14</v>
      </c>
      <c r="B24" t="s">
        <v>28</v>
      </c>
      <c r="O24" s="11">
        <v>1</v>
      </c>
    </row>
    <row r="25" spans="1:18" x14ac:dyDescent="0.25">
      <c r="A25" s="2">
        <v>15</v>
      </c>
      <c r="B25" t="s">
        <v>29</v>
      </c>
      <c r="O25" s="11">
        <v>2</v>
      </c>
    </row>
    <row r="26" spans="1:18" x14ac:dyDescent="0.25">
      <c r="A26" s="2">
        <v>16</v>
      </c>
      <c r="B26" t="s">
        <v>30</v>
      </c>
      <c r="O26" s="11">
        <v>2</v>
      </c>
    </row>
    <row r="27" spans="1:18" x14ac:dyDescent="0.25">
      <c r="A27" s="2">
        <v>17</v>
      </c>
      <c r="B27" t="s">
        <v>31</v>
      </c>
      <c r="O27" s="11">
        <v>1</v>
      </c>
    </row>
    <row r="28" spans="1:18" x14ac:dyDescent="0.25">
      <c r="A28" s="2">
        <v>18</v>
      </c>
      <c r="B28" t="s">
        <v>32</v>
      </c>
      <c r="O28" s="11">
        <v>5</v>
      </c>
    </row>
    <row r="29" spans="1:18" x14ac:dyDescent="0.25">
      <c r="A29" s="2">
        <v>19</v>
      </c>
      <c r="B29" t="s">
        <v>33</v>
      </c>
      <c r="O29" s="11">
        <v>2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2</v>
      </c>
    </row>
    <row r="32" spans="1:18" x14ac:dyDescent="0.25">
      <c r="A32" s="2">
        <v>22</v>
      </c>
      <c r="B32" t="s">
        <v>36</v>
      </c>
      <c r="O32" s="11">
        <v>2</v>
      </c>
    </row>
    <row r="33" spans="1:15" x14ac:dyDescent="0.25">
      <c r="A33" s="2">
        <v>23</v>
      </c>
      <c r="B33" t="s">
        <v>37</v>
      </c>
      <c r="O33" s="11">
        <v>1</v>
      </c>
    </row>
    <row r="34" spans="1:15" x14ac:dyDescent="0.25">
      <c r="A34" s="2">
        <v>24</v>
      </c>
      <c r="B34" t="s">
        <v>38</v>
      </c>
      <c r="O34" s="11">
        <v>2</v>
      </c>
    </row>
    <row r="35" spans="1:15" x14ac:dyDescent="0.25">
      <c r="A35" s="2">
        <v>25</v>
      </c>
      <c r="B35" t="s">
        <v>39</v>
      </c>
      <c r="O35" s="11">
        <v>1</v>
      </c>
    </row>
    <row r="36" spans="1:15" x14ac:dyDescent="0.25">
      <c r="A36" s="2">
        <v>26</v>
      </c>
      <c r="B36" t="s">
        <v>40</v>
      </c>
      <c r="O36" s="11">
        <v>1</v>
      </c>
    </row>
    <row r="37" spans="1:15" x14ac:dyDescent="0.25">
      <c r="A37" s="2">
        <v>27</v>
      </c>
      <c r="B37" t="s">
        <v>41</v>
      </c>
      <c r="O37" s="11">
        <v>2</v>
      </c>
    </row>
    <row r="38" spans="1:15" x14ac:dyDescent="0.25">
      <c r="A38" s="2">
        <v>28</v>
      </c>
      <c r="B38" t="s">
        <v>42</v>
      </c>
      <c r="O38" s="11">
        <v>1</v>
      </c>
    </row>
    <row r="39" spans="1:15" x14ac:dyDescent="0.25">
      <c r="A39" s="2">
        <v>29</v>
      </c>
      <c r="B39" t="s">
        <v>43</v>
      </c>
      <c r="O39" s="11">
        <v>1</v>
      </c>
    </row>
    <row r="40" spans="1:15" x14ac:dyDescent="0.25">
      <c r="A40" s="2">
        <v>30</v>
      </c>
      <c r="B40" t="s">
        <v>44</v>
      </c>
      <c r="O40" s="11">
        <v>2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tabColor rgb="FF7030A0"/>
  </sheetPr>
  <dimension ref="A1:U1048576"/>
  <sheetViews>
    <sheetView zoomScale="80" zoomScaleNormal="80" workbookViewId="0">
      <selection activeCell="R17" sqref="R17"/>
    </sheetView>
  </sheetViews>
  <sheetFormatPr defaultRowHeight="15" x14ac:dyDescent="0.25"/>
  <cols>
    <col min="14" max="14" width="11.5703125" customWidth="1"/>
    <col min="16" max="16" width="4.85546875" customWidth="1"/>
    <col min="17" max="17" width="12.28515625" bestFit="1" customWidth="1"/>
    <col min="18" max="18" width="40.140625" customWidth="1"/>
    <col min="19" max="19" width="19.85546875" bestFit="1" customWidth="1"/>
  </cols>
  <sheetData>
    <row r="1" spans="1:21" x14ac:dyDescent="0.25">
      <c r="A1" s="1" t="s">
        <v>6</v>
      </c>
    </row>
    <row r="2" spans="1:21" x14ac:dyDescent="0.25">
      <c r="A2" s="1" t="s">
        <v>7</v>
      </c>
      <c r="Q2" s="5" t="s">
        <v>45</v>
      </c>
      <c r="R2" s="5" t="s">
        <v>1</v>
      </c>
      <c r="S2" s="6" t="s">
        <v>46</v>
      </c>
      <c r="T2" s="7">
        <f>SUM(O11,O17,O23,O29,O35)</f>
        <v>18</v>
      </c>
      <c r="U2" s="3" t="s">
        <v>62</v>
      </c>
    </row>
    <row r="3" spans="1:21" x14ac:dyDescent="0.25">
      <c r="A3" s="2">
        <v>1</v>
      </c>
      <c r="B3" t="s">
        <v>8</v>
      </c>
      <c r="Q3" s="5" t="s">
        <v>47</v>
      </c>
      <c r="R3" s="5" t="s">
        <v>2</v>
      </c>
      <c r="S3" s="6" t="s">
        <v>48</v>
      </c>
      <c r="T3" s="7">
        <f t="shared" ref="T3:T7" si="0">SUM(O12,O18,O24,O30,O36)</f>
        <v>15</v>
      </c>
      <c r="U3" s="3" t="s">
        <v>62</v>
      </c>
    </row>
    <row r="4" spans="1:21" x14ac:dyDescent="0.25">
      <c r="A4" s="2">
        <v>2</v>
      </c>
      <c r="B4" t="s">
        <v>9</v>
      </c>
      <c r="Q4" s="5" t="s">
        <v>49</v>
      </c>
      <c r="R4" s="5" t="s">
        <v>3</v>
      </c>
      <c r="S4" s="6" t="s">
        <v>50</v>
      </c>
      <c r="T4" s="7">
        <f t="shared" si="0"/>
        <v>18</v>
      </c>
      <c r="U4" s="3" t="s">
        <v>62</v>
      </c>
    </row>
    <row r="5" spans="1:21" x14ac:dyDescent="0.25">
      <c r="A5" s="2">
        <v>3</v>
      </c>
      <c r="B5" t="s">
        <v>10</v>
      </c>
      <c r="Q5" s="5" t="s">
        <v>51</v>
      </c>
      <c r="R5" s="5" t="s">
        <v>4</v>
      </c>
      <c r="S5" s="6" t="s">
        <v>52</v>
      </c>
      <c r="T5" s="7">
        <f t="shared" si="0"/>
        <v>18</v>
      </c>
      <c r="U5" s="3" t="s">
        <v>62</v>
      </c>
    </row>
    <row r="6" spans="1:21" x14ac:dyDescent="0.25">
      <c r="A6" s="2">
        <v>4</v>
      </c>
      <c r="B6" t="s">
        <v>11</v>
      </c>
      <c r="Q6" s="5" t="s">
        <v>53</v>
      </c>
      <c r="R6" s="5" t="s">
        <v>54</v>
      </c>
      <c r="S6" s="6" t="s">
        <v>55</v>
      </c>
      <c r="T6" s="7">
        <f t="shared" si="0"/>
        <v>17</v>
      </c>
      <c r="U6" s="3" t="s">
        <v>62</v>
      </c>
    </row>
    <row r="7" spans="1:21" x14ac:dyDescent="0.25">
      <c r="A7" s="2">
        <v>5</v>
      </c>
      <c r="B7" t="s">
        <v>12</v>
      </c>
      <c r="Q7" s="5" t="s">
        <v>56</v>
      </c>
      <c r="R7" s="5" t="s">
        <v>5</v>
      </c>
      <c r="S7" s="6" t="s">
        <v>57</v>
      </c>
      <c r="T7" s="7">
        <f t="shared" si="0"/>
        <v>19</v>
      </c>
      <c r="U7" s="3" t="s">
        <v>62</v>
      </c>
    </row>
    <row r="8" spans="1:21" x14ac:dyDescent="0.25">
      <c r="A8" s="2">
        <v>6</v>
      </c>
      <c r="B8" t="s">
        <v>13</v>
      </c>
    </row>
    <row r="9" spans="1:21" x14ac:dyDescent="0.25">
      <c r="A9" s="2">
        <v>7</v>
      </c>
      <c r="B9" t="s">
        <v>14</v>
      </c>
      <c r="R9" s="8"/>
    </row>
    <row r="10" spans="1:21" x14ac:dyDescent="0.25">
      <c r="O10" s="4" t="s">
        <v>0</v>
      </c>
    </row>
    <row r="11" spans="1:21" x14ac:dyDescent="0.25">
      <c r="A11" s="2">
        <v>1</v>
      </c>
      <c r="B11" t="s">
        <v>15</v>
      </c>
      <c r="O11" s="11">
        <v>4</v>
      </c>
      <c r="R11" s="8" t="s">
        <v>58</v>
      </c>
    </row>
    <row r="12" spans="1:21" x14ac:dyDescent="0.25">
      <c r="A12" s="2">
        <v>2</v>
      </c>
      <c r="B12" t="s">
        <v>16</v>
      </c>
      <c r="O12" s="11">
        <v>3</v>
      </c>
      <c r="R12" s="8" t="s">
        <v>59</v>
      </c>
    </row>
    <row r="13" spans="1:21" x14ac:dyDescent="0.25">
      <c r="A13" s="2">
        <v>3</v>
      </c>
      <c r="B13" t="s">
        <v>17</v>
      </c>
      <c r="O13" s="11">
        <v>4</v>
      </c>
      <c r="R13" s="8" t="s">
        <v>60</v>
      </c>
    </row>
    <row r="14" spans="1:21" x14ac:dyDescent="0.25">
      <c r="A14" s="2">
        <v>4</v>
      </c>
      <c r="B14" t="s">
        <v>18</v>
      </c>
      <c r="O14" s="11">
        <v>4</v>
      </c>
    </row>
    <row r="15" spans="1:21" x14ac:dyDescent="0.25">
      <c r="A15" s="2">
        <v>5</v>
      </c>
      <c r="B15" t="s">
        <v>27</v>
      </c>
      <c r="O15" s="11">
        <v>4</v>
      </c>
      <c r="R15" s="10">
        <v>112</v>
      </c>
    </row>
    <row r="16" spans="1:21" x14ac:dyDescent="0.25">
      <c r="A16" s="2">
        <v>6</v>
      </c>
      <c r="B16" t="s">
        <v>19</v>
      </c>
      <c r="O16" s="11">
        <v>4</v>
      </c>
      <c r="R16" s="11" t="s">
        <v>566</v>
      </c>
    </row>
    <row r="17" spans="1:18" x14ac:dyDescent="0.25">
      <c r="A17" s="2">
        <v>7</v>
      </c>
      <c r="B17" t="s">
        <v>20</v>
      </c>
      <c r="O17" s="11">
        <v>4</v>
      </c>
      <c r="R17" s="11" t="s">
        <v>567</v>
      </c>
    </row>
    <row r="18" spans="1:18" x14ac:dyDescent="0.25">
      <c r="A18" s="2">
        <v>8</v>
      </c>
      <c r="B18" t="s">
        <v>21</v>
      </c>
      <c r="O18" s="11">
        <v>3</v>
      </c>
      <c r="R18" s="11" t="s">
        <v>568</v>
      </c>
    </row>
    <row r="19" spans="1:18" x14ac:dyDescent="0.25">
      <c r="A19" s="2">
        <v>9</v>
      </c>
      <c r="B19" t="s">
        <v>22</v>
      </c>
      <c r="O19" s="11">
        <v>3</v>
      </c>
      <c r="R19" s="11" t="s">
        <v>444</v>
      </c>
    </row>
    <row r="20" spans="1:18" x14ac:dyDescent="0.25">
      <c r="A20" s="2">
        <v>10</v>
      </c>
      <c r="B20" t="s">
        <v>23</v>
      </c>
      <c r="O20" s="11">
        <v>3</v>
      </c>
      <c r="R20" s="11" t="s">
        <v>212</v>
      </c>
    </row>
    <row r="21" spans="1:18" x14ac:dyDescent="0.25">
      <c r="A21" s="2">
        <v>11</v>
      </c>
      <c r="B21" t="s">
        <v>24</v>
      </c>
      <c r="O21" s="11">
        <v>2</v>
      </c>
      <c r="R21" s="10"/>
    </row>
    <row r="22" spans="1:18" x14ac:dyDescent="0.25">
      <c r="A22" s="2">
        <v>12</v>
      </c>
      <c r="B22" t="s">
        <v>25</v>
      </c>
      <c r="O22" s="11">
        <v>4</v>
      </c>
    </row>
    <row r="23" spans="1:18" x14ac:dyDescent="0.25">
      <c r="A23" s="2">
        <v>13</v>
      </c>
      <c r="B23" t="s">
        <v>26</v>
      </c>
      <c r="O23" s="11">
        <v>4</v>
      </c>
    </row>
    <row r="24" spans="1:18" x14ac:dyDescent="0.25">
      <c r="A24" s="2">
        <v>14</v>
      </c>
      <c r="B24" t="s">
        <v>28</v>
      </c>
      <c r="O24" s="11">
        <v>3</v>
      </c>
    </row>
    <row r="25" spans="1:18" x14ac:dyDescent="0.25">
      <c r="A25" s="2">
        <v>15</v>
      </c>
      <c r="B25" t="s">
        <v>29</v>
      </c>
      <c r="O25" s="11">
        <v>4</v>
      </c>
    </row>
    <row r="26" spans="1:18" x14ac:dyDescent="0.25">
      <c r="A26" s="2">
        <v>16</v>
      </c>
      <c r="B26" t="s">
        <v>30</v>
      </c>
      <c r="O26" s="11">
        <v>4</v>
      </c>
    </row>
    <row r="27" spans="1:18" x14ac:dyDescent="0.25">
      <c r="A27" s="2">
        <v>17</v>
      </c>
      <c r="B27" t="s">
        <v>31</v>
      </c>
      <c r="O27" s="11">
        <v>3</v>
      </c>
    </row>
    <row r="28" spans="1:18" x14ac:dyDescent="0.25">
      <c r="A28" s="2">
        <v>18</v>
      </c>
      <c r="B28" t="s">
        <v>32</v>
      </c>
      <c r="O28" s="11">
        <v>3</v>
      </c>
    </row>
    <row r="29" spans="1:18" x14ac:dyDescent="0.25">
      <c r="A29" s="2">
        <v>19</v>
      </c>
      <c r="B29" t="s">
        <v>33</v>
      </c>
      <c r="O29" s="11">
        <v>3</v>
      </c>
    </row>
    <row r="30" spans="1:18" x14ac:dyDescent="0.25">
      <c r="A30" s="2">
        <v>20</v>
      </c>
      <c r="B30" t="s">
        <v>34</v>
      </c>
      <c r="O30" s="11">
        <v>3</v>
      </c>
    </row>
    <row r="31" spans="1:18" x14ac:dyDescent="0.25">
      <c r="A31" s="2">
        <v>21</v>
      </c>
      <c r="B31" t="s">
        <v>35</v>
      </c>
      <c r="O31" s="11">
        <v>3</v>
      </c>
    </row>
    <row r="32" spans="1:18" x14ac:dyDescent="0.25">
      <c r="A32" s="2">
        <v>22</v>
      </c>
      <c r="B32" t="s">
        <v>36</v>
      </c>
      <c r="O32" s="11">
        <v>3</v>
      </c>
    </row>
    <row r="33" spans="1:15" x14ac:dyDescent="0.25">
      <c r="A33" s="2">
        <v>23</v>
      </c>
      <c r="B33" t="s">
        <v>37</v>
      </c>
      <c r="O33" s="11">
        <v>4</v>
      </c>
    </row>
    <row r="34" spans="1:15" x14ac:dyDescent="0.25">
      <c r="A34" s="2">
        <v>24</v>
      </c>
      <c r="B34" t="s">
        <v>38</v>
      </c>
      <c r="O34" s="11">
        <v>4</v>
      </c>
    </row>
    <row r="35" spans="1:15" x14ac:dyDescent="0.25">
      <c r="A35" s="2">
        <v>25</v>
      </c>
      <c r="B35" t="s">
        <v>39</v>
      </c>
      <c r="O35" s="11">
        <v>3</v>
      </c>
    </row>
    <row r="36" spans="1:15" x14ac:dyDescent="0.25">
      <c r="A36" s="2">
        <v>26</v>
      </c>
      <c r="B36" t="s">
        <v>40</v>
      </c>
      <c r="O36" s="11">
        <v>3</v>
      </c>
    </row>
    <row r="37" spans="1:15" x14ac:dyDescent="0.25">
      <c r="A37" s="2">
        <v>27</v>
      </c>
      <c r="B37" t="s">
        <v>41</v>
      </c>
      <c r="O37" s="11">
        <v>4</v>
      </c>
    </row>
    <row r="38" spans="1:15" x14ac:dyDescent="0.25">
      <c r="A38" s="2">
        <v>28</v>
      </c>
      <c r="B38" t="s">
        <v>42</v>
      </c>
      <c r="O38" s="11">
        <v>4</v>
      </c>
    </row>
    <row r="39" spans="1:15" x14ac:dyDescent="0.25">
      <c r="A39" s="2">
        <v>29</v>
      </c>
      <c r="B39" t="s">
        <v>43</v>
      </c>
      <c r="O39" s="11">
        <v>4</v>
      </c>
    </row>
    <row r="40" spans="1:15" x14ac:dyDescent="0.25">
      <c r="A40" s="2">
        <v>30</v>
      </c>
      <c r="B40" t="s">
        <v>44</v>
      </c>
      <c r="O40" s="11">
        <v>4</v>
      </c>
    </row>
    <row r="1048576" spans="21:21" x14ac:dyDescent="0.25">
      <c r="U1048576" t="s">
        <v>61</v>
      </c>
    </row>
  </sheetData>
  <pageMargins left="0.25" right="0.25" top="0.75" bottom="0.75" header="0.3" footer="0.3"/>
  <pageSetup paperSize="9" scale="57" orientation="landscape" horizontalDpi="360" verticalDpi="36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tabColor rgb="FF92D050"/>
  </sheetPr>
  <dimension ref="A1:J164"/>
  <sheetViews>
    <sheetView tabSelected="1" zoomScale="90" zoomScaleNormal="90" workbookViewId="0">
      <pane ySplit="1" topLeftCell="A107" activePane="bottomLeft" state="frozen"/>
      <selection pane="bottomLeft" activeCell="D115" sqref="D115"/>
    </sheetView>
  </sheetViews>
  <sheetFormatPr defaultRowHeight="15.75" x14ac:dyDescent="0.25"/>
  <cols>
    <col min="1" max="1" width="13.42578125" style="34" customWidth="1"/>
    <col min="2" max="2" width="22.5703125" style="34" bestFit="1" customWidth="1"/>
    <col min="3" max="3" width="27.140625" style="34" customWidth="1"/>
    <col min="4" max="5" width="13.7109375" style="34" bestFit="1" customWidth="1"/>
    <col min="6" max="6" width="15.7109375" style="34" customWidth="1"/>
    <col min="7" max="7" width="12.7109375" style="34" customWidth="1"/>
    <col min="8" max="9" width="13.7109375" style="34" bestFit="1" customWidth="1"/>
    <col min="10" max="10" width="9.140625" style="47"/>
    <col min="11" max="16384" width="9.140625" style="34"/>
  </cols>
  <sheetData>
    <row r="1" spans="1:10" s="45" customFormat="1" x14ac:dyDescent="0.25">
      <c r="A1" s="33" t="s">
        <v>69</v>
      </c>
      <c r="B1" s="33" t="s">
        <v>70</v>
      </c>
      <c r="C1" s="33" t="s">
        <v>71</v>
      </c>
      <c r="D1" s="43" t="s">
        <v>45</v>
      </c>
      <c r="E1" s="43" t="s">
        <v>47</v>
      </c>
      <c r="F1" s="43" t="s">
        <v>49</v>
      </c>
      <c r="G1" s="43" t="s">
        <v>51</v>
      </c>
      <c r="H1" s="43" t="s">
        <v>53</v>
      </c>
      <c r="I1" s="43" t="s">
        <v>56</v>
      </c>
      <c r="J1" s="44" t="s">
        <v>702</v>
      </c>
    </row>
    <row r="2" spans="1:10" x14ac:dyDescent="0.25">
      <c r="A2" s="46" t="s">
        <v>669</v>
      </c>
      <c r="B2" s="46" t="s">
        <v>121</v>
      </c>
      <c r="C2" s="46" t="s">
        <v>122</v>
      </c>
      <c r="D2" s="46">
        <v>12</v>
      </c>
      <c r="E2" s="46">
        <v>14</v>
      </c>
      <c r="F2" s="46">
        <v>18</v>
      </c>
      <c r="G2" s="46">
        <v>21</v>
      </c>
      <c r="H2" s="46">
        <v>20</v>
      </c>
      <c r="I2" s="46">
        <v>15</v>
      </c>
      <c r="J2" s="47">
        <f>SUM(D2:I2)</f>
        <v>100</v>
      </c>
    </row>
    <row r="3" spans="1:10" x14ac:dyDescent="0.25">
      <c r="A3" s="15" t="s">
        <v>675</v>
      </c>
      <c r="B3" s="46" t="s">
        <v>126</v>
      </c>
      <c r="C3" s="46" t="s">
        <v>127</v>
      </c>
      <c r="D3" s="46">
        <v>18</v>
      </c>
      <c r="E3" s="46">
        <v>16</v>
      </c>
      <c r="F3" s="46">
        <v>20</v>
      </c>
      <c r="G3" s="46">
        <v>19</v>
      </c>
      <c r="H3" s="46">
        <v>21</v>
      </c>
      <c r="I3" s="46">
        <v>17</v>
      </c>
      <c r="J3" s="47">
        <f t="shared" ref="J3:J66" si="0">SUM(D3:I3)</f>
        <v>111</v>
      </c>
    </row>
    <row r="4" spans="1:10" x14ac:dyDescent="0.25">
      <c r="A4" s="15" t="s">
        <v>699</v>
      </c>
      <c r="B4" s="46" t="s">
        <v>131</v>
      </c>
      <c r="C4" s="46" t="s">
        <v>132</v>
      </c>
      <c r="D4" s="46">
        <v>10</v>
      </c>
      <c r="E4" s="46">
        <v>13</v>
      </c>
      <c r="F4" s="46">
        <v>13</v>
      </c>
      <c r="G4" s="46">
        <v>9</v>
      </c>
      <c r="H4" s="46">
        <v>7</v>
      </c>
      <c r="I4" s="46">
        <v>12</v>
      </c>
      <c r="J4" s="47">
        <f t="shared" si="0"/>
        <v>64</v>
      </c>
    </row>
    <row r="5" spans="1:10" x14ac:dyDescent="0.25">
      <c r="A5" s="15" t="s">
        <v>640</v>
      </c>
      <c r="B5" s="46" t="s">
        <v>136</v>
      </c>
      <c r="C5" s="46" t="s">
        <v>137</v>
      </c>
      <c r="D5" s="46">
        <v>7</v>
      </c>
      <c r="E5" s="46">
        <v>9</v>
      </c>
      <c r="F5" s="46">
        <v>23</v>
      </c>
      <c r="G5" s="46">
        <v>20</v>
      </c>
      <c r="H5" s="46">
        <v>7</v>
      </c>
      <c r="I5" s="46">
        <v>32</v>
      </c>
      <c r="J5" s="47">
        <f t="shared" si="0"/>
        <v>98</v>
      </c>
    </row>
    <row r="6" spans="1:10" x14ac:dyDescent="0.25">
      <c r="A6" s="15" t="s">
        <v>597</v>
      </c>
      <c r="B6" s="46" t="s">
        <v>141</v>
      </c>
      <c r="C6" s="46" t="s">
        <v>142</v>
      </c>
      <c r="D6" s="46">
        <v>11</v>
      </c>
      <c r="E6" s="46">
        <v>13</v>
      </c>
      <c r="F6" s="46">
        <v>19</v>
      </c>
      <c r="G6" s="46">
        <v>20</v>
      </c>
      <c r="H6" s="46">
        <v>8</v>
      </c>
      <c r="I6" s="46">
        <v>22</v>
      </c>
      <c r="J6" s="47">
        <f t="shared" si="0"/>
        <v>93</v>
      </c>
    </row>
    <row r="7" spans="1:10" x14ac:dyDescent="0.25">
      <c r="A7" s="7" t="s">
        <v>606</v>
      </c>
      <c r="B7" s="46" t="s">
        <v>146</v>
      </c>
      <c r="C7" s="46" t="s">
        <v>405</v>
      </c>
      <c r="D7" s="46">
        <v>5</v>
      </c>
      <c r="E7" s="46">
        <v>8</v>
      </c>
      <c r="F7" s="46">
        <v>6</v>
      </c>
      <c r="G7" s="46">
        <v>5</v>
      </c>
      <c r="H7" s="46">
        <v>21</v>
      </c>
      <c r="I7" s="46">
        <v>14</v>
      </c>
      <c r="J7" s="47">
        <f t="shared" si="0"/>
        <v>59</v>
      </c>
    </row>
    <row r="8" spans="1:10" x14ac:dyDescent="0.25">
      <c r="A8" s="46" t="s">
        <v>698</v>
      </c>
      <c r="B8" s="46" t="s">
        <v>151</v>
      </c>
      <c r="C8" s="46" t="s">
        <v>708</v>
      </c>
      <c r="D8" s="46">
        <v>12</v>
      </c>
      <c r="E8" s="46">
        <v>14</v>
      </c>
      <c r="F8" s="46">
        <v>12</v>
      </c>
      <c r="G8" s="46">
        <v>14</v>
      </c>
      <c r="H8" s="46">
        <v>12</v>
      </c>
      <c r="I8" s="46">
        <v>18</v>
      </c>
      <c r="J8" s="47">
        <f t="shared" si="0"/>
        <v>82</v>
      </c>
    </row>
    <row r="9" spans="1:10" x14ac:dyDescent="0.25">
      <c r="A9" s="15" t="s">
        <v>676</v>
      </c>
      <c r="B9" s="46" t="s">
        <v>156</v>
      </c>
      <c r="C9" s="46" t="s">
        <v>127</v>
      </c>
      <c r="D9" s="46">
        <v>11</v>
      </c>
      <c r="E9" s="46">
        <v>23</v>
      </c>
      <c r="F9" s="46">
        <v>31</v>
      </c>
      <c r="G9" s="46">
        <v>18</v>
      </c>
      <c r="H9" s="46">
        <v>5</v>
      </c>
      <c r="I9" s="46">
        <v>31</v>
      </c>
      <c r="J9" s="47">
        <f t="shared" si="0"/>
        <v>119</v>
      </c>
    </row>
    <row r="10" spans="1:10" x14ac:dyDescent="0.25">
      <c r="A10" s="15" t="s">
        <v>672</v>
      </c>
      <c r="B10" s="46" t="s">
        <v>160</v>
      </c>
      <c r="C10" s="46" t="s">
        <v>244</v>
      </c>
      <c r="D10" s="46">
        <v>14</v>
      </c>
      <c r="E10" s="46">
        <v>15</v>
      </c>
      <c r="F10" s="46">
        <v>13</v>
      </c>
      <c r="G10" s="46">
        <v>14</v>
      </c>
      <c r="H10" s="46">
        <v>12</v>
      </c>
      <c r="I10" s="46">
        <v>20</v>
      </c>
      <c r="J10" s="47">
        <f t="shared" si="0"/>
        <v>88</v>
      </c>
    </row>
    <row r="11" spans="1:10" x14ac:dyDescent="0.25">
      <c r="A11" s="15" t="s">
        <v>641</v>
      </c>
      <c r="B11" s="46" t="s">
        <v>165</v>
      </c>
      <c r="C11" s="46" t="s">
        <v>137</v>
      </c>
      <c r="D11" s="46">
        <v>14</v>
      </c>
      <c r="E11" s="46">
        <v>12</v>
      </c>
      <c r="F11" s="46">
        <v>13</v>
      </c>
      <c r="G11" s="46">
        <v>12</v>
      </c>
      <c r="H11" s="46">
        <v>15</v>
      </c>
      <c r="I11" s="46">
        <v>10</v>
      </c>
      <c r="J11" s="47">
        <f t="shared" si="0"/>
        <v>76</v>
      </c>
    </row>
    <row r="12" spans="1:10" x14ac:dyDescent="0.25">
      <c r="A12" s="46" t="s">
        <v>691</v>
      </c>
      <c r="B12" s="46" t="s">
        <v>169</v>
      </c>
      <c r="C12" s="46" t="s">
        <v>526</v>
      </c>
      <c r="D12" s="48">
        <v>7</v>
      </c>
      <c r="E12" s="48">
        <v>9</v>
      </c>
      <c r="F12" s="48">
        <v>12</v>
      </c>
      <c r="G12" s="48">
        <v>13</v>
      </c>
      <c r="H12" s="48">
        <v>32</v>
      </c>
      <c r="I12" s="48">
        <v>10</v>
      </c>
      <c r="J12" s="47">
        <f t="shared" si="0"/>
        <v>83</v>
      </c>
    </row>
    <row r="13" spans="1:10" x14ac:dyDescent="0.25">
      <c r="A13" s="15" t="s">
        <v>642</v>
      </c>
      <c r="B13" s="46" t="s">
        <v>174</v>
      </c>
      <c r="C13" s="46" t="s">
        <v>137</v>
      </c>
      <c r="D13" s="48">
        <v>6</v>
      </c>
      <c r="E13" s="48">
        <v>6</v>
      </c>
      <c r="F13" s="48">
        <v>14</v>
      </c>
      <c r="G13" s="48">
        <v>19</v>
      </c>
      <c r="H13" s="48">
        <v>8</v>
      </c>
      <c r="I13" s="48">
        <v>16</v>
      </c>
      <c r="J13" s="47">
        <f t="shared" si="0"/>
        <v>69</v>
      </c>
    </row>
    <row r="14" spans="1:10" x14ac:dyDescent="0.25">
      <c r="A14" s="15" t="s">
        <v>633</v>
      </c>
      <c r="B14" s="46" t="s">
        <v>178</v>
      </c>
      <c r="C14" s="46" t="s">
        <v>179</v>
      </c>
      <c r="D14" s="48">
        <v>5</v>
      </c>
      <c r="E14" s="48">
        <v>8</v>
      </c>
      <c r="F14" s="48">
        <v>6</v>
      </c>
      <c r="G14" s="48">
        <v>8</v>
      </c>
      <c r="H14" s="48">
        <v>15</v>
      </c>
      <c r="I14" s="48">
        <v>7</v>
      </c>
      <c r="J14" s="47">
        <f t="shared" si="0"/>
        <v>49</v>
      </c>
    </row>
    <row r="15" spans="1:10" x14ac:dyDescent="0.25">
      <c r="A15" s="15" t="s">
        <v>625</v>
      </c>
      <c r="B15" s="46" t="s">
        <v>183</v>
      </c>
      <c r="C15" s="46" t="s">
        <v>707</v>
      </c>
      <c r="D15" s="48">
        <v>12</v>
      </c>
      <c r="E15" s="48">
        <v>12</v>
      </c>
      <c r="F15" s="48">
        <v>10</v>
      </c>
      <c r="G15" s="48">
        <v>17</v>
      </c>
      <c r="H15" s="48">
        <v>19</v>
      </c>
      <c r="I15" s="48">
        <v>11</v>
      </c>
      <c r="J15" s="47">
        <f t="shared" si="0"/>
        <v>81</v>
      </c>
    </row>
    <row r="16" spans="1:10" x14ac:dyDescent="0.25">
      <c r="A16" s="46" t="s">
        <v>643</v>
      </c>
      <c r="B16" s="46" t="s">
        <v>174</v>
      </c>
      <c r="C16" s="46" t="s">
        <v>137</v>
      </c>
      <c r="D16" s="48">
        <v>14</v>
      </c>
      <c r="E16" s="48">
        <v>11</v>
      </c>
      <c r="F16" s="48">
        <v>27</v>
      </c>
      <c r="G16" s="48">
        <v>13</v>
      </c>
      <c r="H16" s="48">
        <v>27</v>
      </c>
      <c r="I16" s="48">
        <v>32</v>
      </c>
      <c r="J16" s="47">
        <f t="shared" si="0"/>
        <v>124</v>
      </c>
    </row>
    <row r="17" spans="1:10" x14ac:dyDescent="0.25">
      <c r="A17" s="46" t="s">
        <v>695</v>
      </c>
      <c r="B17" s="46" t="s">
        <v>193</v>
      </c>
      <c r="C17" s="46" t="s">
        <v>708</v>
      </c>
      <c r="D17" s="48">
        <v>9</v>
      </c>
      <c r="E17" s="48">
        <v>11</v>
      </c>
      <c r="F17" s="48">
        <v>11</v>
      </c>
      <c r="G17" s="48">
        <v>12</v>
      </c>
      <c r="H17" s="48">
        <v>5</v>
      </c>
      <c r="I17" s="48">
        <v>19</v>
      </c>
      <c r="J17" s="47">
        <f t="shared" si="0"/>
        <v>67</v>
      </c>
    </row>
    <row r="18" spans="1:10" x14ac:dyDescent="0.25">
      <c r="A18" s="15" t="s">
        <v>644</v>
      </c>
      <c r="B18" s="46" t="s">
        <v>198</v>
      </c>
      <c r="C18" s="46" t="s">
        <v>137</v>
      </c>
      <c r="D18" s="48">
        <v>9</v>
      </c>
      <c r="E18" s="48">
        <v>11</v>
      </c>
      <c r="F18" s="48">
        <v>12</v>
      </c>
      <c r="G18" s="48">
        <v>8</v>
      </c>
      <c r="H18" s="48">
        <v>12</v>
      </c>
      <c r="I18" s="48">
        <v>20</v>
      </c>
      <c r="J18" s="47">
        <f t="shared" si="0"/>
        <v>72</v>
      </c>
    </row>
    <row r="19" spans="1:10" x14ac:dyDescent="0.25">
      <c r="A19" s="46" t="s">
        <v>619</v>
      </c>
      <c r="B19" s="46" t="s">
        <v>202</v>
      </c>
      <c r="C19" s="46" t="s">
        <v>709</v>
      </c>
      <c r="D19" s="48">
        <v>8</v>
      </c>
      <c r="E19" s="48">
        <v>9</v>
      </c>
      <c r="F19" s="48">
        <v>8</v>
      </c>
      <c r="G19" s="48">
        <v>9</v>
      </c>
      <c r="H19" s="48">
        <v>10</v>
      </c>
      <c r="I19" s="48">
        <v>10</v>
      </c>
      <c r="J19" s="47">
        <f t="shared" si="0"/>
        <v>54</v>
      </c>
    </row>
    <row r="20" spans="1:10" x14ac:dyDescent="0.25">
      <c r="A20" s="15" t="s">
        <v>645</v>
      </c>
      <c r="B20" s="46" t="s">
        <v>207</v>
      </c>
      <c r="C20" s="46" t="s">
        <v>137</v>
      </c>
      <c r="D20" s="48">
        <v>9</v>
      </c>
      <c r="E20" s="48">
        <v>9</v>
      </c>
      <c r="F20" s="48">
        <v>16</v>
      </c>
      <c r="G20" s="48">
        <v>14</v>
      </c>
      <c r="H20" s="48">
        <v>10</v>
      </c>
      <c r="I20" s="48">
        <v>15</v>
      </c>
      <c r="J20" s="47">
        <f t="shared" si="0"/>
        <v>73</v>
      </c>
    </row>
    <row r="21" spans="1:10" x14ac:dyDescent="0.25">
      <c r="A21" s="15" t="s">
        <v>646</v>
      </c>
      <c r="B21" s="46" t="s">
        <v>211</v>
      </c>
      <c r="C21" s="46" t="s">
        <v>526</v>
      </c>
      <c r="D21" s="48">
        <v>7</v>
      </c>
      <c r="E21" s="48">
        <v>8</v>
      </c>
      <c r="F21" s="48">
        <v>10</v>
      </c>
      <c r="G21" s="48">
        <v>13</v>
      </c>
      <c r="H21" s="48">
        <v>10</v>
      </c>
      <c r="I21" s="48">
        <v>16</v>
      </c>
      <c r="J21" s="47">
        <f t="shared" si="0"/>
        <v>64</v>
      </c>
    </row>
    <row r="22" spans="1:10" x14ac:dyDescent="0.25">
      <c r="A22" s="46" t="s">
        <v>646</v>
      </c>
      <c r="B22" s="46" t="s">
        <v>216</v>
      </c>
      <c r="C22" s="46" t="s">
        <v>137</v>
      </c>
      <c r="D22" s="48">
        <v>6</v>
      </c>
      <c r="E22" s="48">
        <v>7</v>
      </c>
      <c r="F22" s="48">
        <v>18</v>
      </c>
      <c r="G22" s="48">
        <v>17</v>
      </c>
      <c r="H22" s="48">
        <v>9</v>
      </c>
      <c r="I22" s="48">
        <v>10</v>
      </c>
      <c r="J22" s="47">
        <f t="shared" si="0"/>
        <v>67</v>
      </c>
    </row>
    <row r="23" spans="1:10" x14ac:dyDescent="0.25">
      <c r="A23" s="15" t="s">
        <v>647</v>
      </c>
      <c r="B23" s="46" t="s">
        <v>174</v>
      </c>
      <c r="C23" s="46" t="s">
        <v>137</v>
      </c>
      <c r="D23" s="48">
        <v>7</v>
      </c>
      <c r="E23" s="48">
        <v>9</v>
      </c>
      <c r="F23" s="48">
        <v>16</v>
      </c>
      <c r="G23" s="48">
        <v>14</v>
      </c>
      <c r="H23" s="48">
        <v>17</v>
      </c>
      <c r="I23" s="48">
        <v>19</v>
      </c>
      <c r="J23" s="47">
        <f t="shared" si="0"/>
        <v>82</v>
      </c>
    </row>
    <row r="24" spans="1:10" x14ac:dyDescent="0.25">
      <c r="A24" s="46" t="s">
        <v>670</v>
      </c>
      <c r="B24" s="46" t="s">
        <v>122</v>
      </c>
      <c r="C24" s="46" t="s">
        <v>122</v>
      </c>
      <c r="D24" s="48">
        <v>17</v>
      </c>
      <c r="E24" s="48">
        <v>18</v>
      </c>
      <c r="F24" s="48">
        <v>18</v>
      </c>
      <c r="G24" s="48">
        <v>15</v>
      </c>
      <c r="H24" s="48">
        <v>25</v>
      </c>
      <c r="I24" s="48">
        <v>16</v>
      </c>
      <c r="J24" s="47">
        <f t="shared" si="0"/>
        <v>109</v>
      </c>
    </row>
    <row r="25" spans="1:10" x14ac:dyDescent="0.25">
      <c r="A25" s="46" t="s">
        <v>648</v>
      </c>
      <c r="B25" s="46" t="s">
        <v>226</v>
      </c>
      <c r="C25" s="46" t="s">
        <v>137</v>
      </c>
      <c r="D25" s="48">
        <v>7</v>
      </c>
      <c r="E25" s="48">
        <v>8</v>
      </c>
      <c r="F25" s="48">
        <v>13</v>
      </c>
      <c r="G25" s="48">
        <v>8</v>
      </c>
      <c r="H25" s="48">
        <v>8</v>
      </c>
      <c r="I25" s="48">
        <v>8</v>
      </c>
      <c r="J25" s="47">
        <f t="shared" si="0"/>
        <v>52</v>
      </c>
    </row>
    <row r="26" spans="1:10" x14ac:dyDescent="0.25">
      <c r="A26" s="15" t="s">
        <v>626</v>
      </c>
      <c r="B26" s="46" t="s">
        <v>230</v>
      </c>
      <c r="C26" s="46" t="s">
        <v>707</v>
      </c>
      <c r="D26" s="48">
        <v>7</v>
      </c>
      <c r="E26" s="48">
        <v>10</v>
      </c>
      <c r="F26" s="48">
        <v>16</v>
      </c>
      <c r="G26" s="48">
        <v>15</v>
      </c>
      <c r="H26" s="48">
        <v>21</v>
      </c>
      <c r="I26" s="48">
        <v>14</v>
      </c>
      <c r="J26" s="47">
        <f t="shared" si="0"/>
        <v>83</v>
      </c>
    </row>
    <row r="27" spans="1:10" x14ac:dyDescent="0.25">
      <c r="A27" s="46" t="s">
        <v>649</v>
      </c>
      <c r="B27" s="46" t="s">
        <v>235</v>
      </c>
      <c r="C27" s="46" t="s">
        <v>137</v>
      </c>
      <c r="D27" s="48">
        <v>21</v>
      </c>
      <c r="E27" s="48">
        <v>16</v>
      </c>
      <c r="F27" s="48">
        <v>22</v>
      </c>
      <c r="G27" s="48">
        <v>23</v>
      </c>
      <c r="H27" s="48">
        <v>24</v>
      </c>
      <c r="I27" s="48">
        <v>17</v>
      </c>
      <c r="J27" s="47">
        <f t="shared" si="0"/>
        <v>123</v>
      </c>
    </row>
    <row r="28" spans="1:10" x14ac:dyDescent="0.25">
      <c r="A28" s="46" t="s">
        <v>618</v>
      </c>
      <c r="B28" s="46" t="s">
        <v>211</v>
      </c>
      <c r="C28" s="46" t="s">
        <v>526</v>
      </c>
      <c r="D28" s="48">
        <v>10</v>
      </c>
      <c r="E28" s="48">
        <v>19</v>
      </c>
      <c r="F28" s="48">
        <v>22</v>
      </c>
      <c r="G28" s="48">
        <v>18</v>
      </c>
      <c r="H28" s="48">
        <v>6</v>
      </c>
      <c r="I28" s="48">
        <v>10</v>
      </c>
      <c r="J28" s="47">
        <f t="shared" si="0"/>
        <v>85</v>
      </c>
    </row>
    <row r="29" spans="1:10" x14ac:dyDescent="0.25">
      <c r="A29" s="15" t="s">
        <v>679</v>
      </c>
      <c r="B29" s="46" t="s">
        <v>243</v>
      </c>
      <c r="C29" s="46" t="s">
        <v>244</v>
      </c>
      <c r="D29" s="48">
        <v>10</v>
      </c>
      <c r="E29" s="48">
        <v>13</v>
      </c>
      <c r="F29" s="48">
        <v>15</v>
      </c>
      <c r="G29" s="48">
        <v>17</v>
      </c>
      <c r="H29" s="48">
        <v>10</v>
      </c>
      <c r="I29" s="48">
        <v>27</v>
      </c>
      <c r="J29" s="47">
        <f t="shared" si="0"/>
        <v>92</v>
      </c>
    </row>
    <row r="30" spans="1:10" x14ac:dyDescent="0.25">
      <c r="A30" s="15" t="s">
        <v>650</v>
      </c>
      <c r="B30" s="46" t="s">
        <v>248</v>
      </c>
      <c r="C30" s="46" t="s">
        <v>137</v>
      </c>
      <c r="D30" s="48">
        <v>6</v>
      </c>
      <c r="E30" s="48">
        <v>7</v>
      </c>
      <c r="F30" s="48">
        <v>8</v>
      </c>
      <c r="G30" s="48">
        <v>9</v>
      </c>
      <c r="H30" s="48">
        <v>8</v>
      </c>
      <c r="I30" s="48">
        <v>6</v>
      </c>
      <c r="J30" s="47">
        <f t="shared" si="0"/>
        <v>44</v>
      </c>
    </row>
    <row r="31" spans="1:10" x14ac:dyDescent="0.25">
      <c r="A31" s="7" t="s">
        <v>604</v>
      </c>
      <c r="B31" s="46" t="s">
        <v>126</v>
      </c>
      <c r="C31" s="46" t="s">
        <v>405</v>
      </c>
      <c r="D31" s="48">
        <v>5</v>
      </c>
      <c r="E31" s="48">
        <v>5</v>
      </c>
      <c r="F31" s="48">
        <v>5</v>
      </c>
      <c r="G31" s="48">
        <v>6</v>
      </c>
      <c r="H31" s="48">
        <v>5</v>
      </c>
      <c r="I31" s="48">
        <v>5</v>
      </c>
      <c r="J31" s="47">
        <f t="shared" si="0"/>
        <v>31</v>
      </c>
    </row>
    <row r="32" spans="1:10" x14ac:dyDescent="0.25">
      <c r="A32" s="46" t="s">
        <v>604</v>
      </c>
      <c r="B32" s="46" t="s">
        <v>256</v>
      </c>
      <c r="C32" s="46" t="s">
        <v>137</v>
      </c>
      <c r="D32" s="48">
        <v>15</v>
      </c>
      <c r="E32" s="48">
        <v>12</v>
      </c>
      <c r="F32" s="48">
        <v>13</v>
      </c>
      <c r="G32" s="48">
        <v>13</v>
      </c>
      <c r="H32" s="48">
        <v>16</v>
      </c>
      <c r="I32" s="48">
        <v>14</v>
      </c>
      <c r="J32" s="47">
        <f t="shared" si="0"/>
        <v>83</v>
      </c>
    </row>
    <row r="33" spans="1:10" x14ac:dyDescent="0.25">
      <c r="A33" s="15" t="s">
        <v>651</v>
      </c>
      <c r="B33" s="46" t="s">
        <v>174</v>
      </c>
      <c r="C33" s="46" t="s">
        <v>137</v>
      </c>
      <c r="D33" s="48">
        <v>18</v>
      </c>
      <c r="E33" s="48">
        <v>20</v>
      </c>
      <c r="F33" s="48">
        <v>22</v>
      </c>
      <c r="G33" s="48">
        <v>29</v>
      </c>
      <c r="H33" s="48">
        <v>25</v>
      </c>
      <c r="I33" s="48">
        <v>13</v>
      </c>
      <c r="J33" s="47">
        <f t="shared" si="0"/>
        <v>127</v>
      </c>
    </row>
    <row r="34" spans="1:10" x14ac:dyDescent="0.25">
      <c r="A34" s="7" t="s">
        <v>605</v>
      </c>
      <c r="B34" s="46" t="s">
        <v>263</v>
      </c>
      <c r="C34" s="46" t="s">
        <v>405</v>
      </c>
      <c r="D34" s="48">
        <v>7</v>
      </c>
      <c r="E34" s="48">
        <v>9</v>
      </c>
      <c r="F34" s="48">
        <v>15</v>
      </c>
      <c r="G34" s="48">
        <v>7</v>
      </c>
      <c r="H34" s="48">
        <v>6</v>
      </c>
      <c r="I34" s="48">
        <v>17</v>
      </c>
      <c r="J34" s="47">
        <f t="shared" si="0"/>
        <v>61</v>
      </c>
    </row>
    <row r="35" spans="1:10" x14ac:dyDescent="0.25">
      <c r="A35" s="15" t="s">
        <v>634</v>
      </c>
      <c r="B35" s="46" t="s">
        <v>268</v>
      </c>
      <c r="C35" s="46" t="s">
        <v>179</v>
      </c>
      <c r="D35" s="48">
        <v>17</v>
      </c>
      <c r="E35" s="48">
        <v>18</v>
      </c>
      <c r="F35" s="48">
        <v>18</v>
      </c>
      <c r="G35" s="48">
        <v>17</v>
      </c>
      <c r="H35" s="48">
        <v>23</v>
      </c>
      <c r="I35" s="48">
        <v>22</v>
      </c>
      <c r="J35" s="47">
        <f t="shared" si="0"/>
        <v>115</v>
      </c>
    </row>
    <row r="36" spans="1:10" x14ac:dyDescent="0.25">
      <c r="A36" s="15" t="s">
        <v>595</v>
      </c>
      <c r="B36" s="46" t="s">
        <v>66</v>
      </c>
      <c r="C36" s="46" t="s">
        <v>142</v>
      </c>
      <c r="D36" s="48">
        <v>6</v>
      </c>
      <c r="E36" s="48">
        <v>8</v>
      </c>
      <c r="F36" s="48">
        <v>16</v>
      </c>
      <c r="G36" s="48">
        <v>12</v>
      </c>
      <c r="H36" s="48">
        <v>7</v>
      </c>
      <c r="I36" s="48">
        <v>14</v>
      </c>
      <c r="J36" s="47">
        <f t="shared" si="0"/>
        <v>63</v>
      </c>
    </row>
    <row r="37" spans="1:10" x14ac:dyDescent="0.25">
      <c r="A37" s="15" t="s">
        <v>673</v>
      </c>
      <c r="B37" s="46" t="s">
        <v>276</v>
      </c>
      <c r="C37" s="46" t="s">
        <v>244</v>
      </c>
      <c r="D37" s="48">
        <v>11</v>
      </c>
      <c r="E37" s="48">
        <v>12</v>
      </c>
      <c r="F37" s="48">
        <v>19</v>
      </c>
      <c r="G37" s="48">
        <v>25</v>
      </c>
      <c r="H37" s="48">
        <v>9</v>
      </c>
      <c r="I37" s="48">
        <v>29</v>
      </c>
      <c r="J37" s="47">
        <f t="shared" si="0"/>
        <v>105</v>
      </c>
    </row>
    <row r="38" spans="1:10" x14ac:dyDescent="0.25">
      <c r="A38" s="46" t="s">
        <v>652</v>
      </c>
      <c r="B38" s="46" t="s">
        <v>256</v>
      </c>
      <c r="C38" s="46" t="s">
        <v>137</v>
      </c>
      <c r="D38" s="48">
        <v>21</v>
      </c>
      <c r="E38" s="48">
        <v>18</v>
      </c>
      <c r="F38" s="48">
        <v>13</v>
      </c>
      <c r="G38" s="48">
        <v>16</v>
      </c>
      <c r="H38" s="48">
        <v>22</v>
      </c>
      <c r="I38" s="48">
        <v>22</v>
      </c>
      <c r="J38" s="47">
        <f t="shared" si="0"/>
        <v>112</v>
      </c>
    </row>
    <row r="39" spans="1:10" x14ac:dyDescent="0.25">
      <c r="A39" s="15" t="s">
        <v>710</v>
      </c>
      <c r="B39" s="46" t="s">
        <v>283</v>
      </c>
      <c r="C39" s="46" t="s">
        <v>179</v>
      </c>
      <c r="D39" s="48">
        <v>6</v>
      </c>
      <c r="E39" s="48">
        <v>14</v>
      </c>
      <c r="F39" s="48">
        <v>17</v>
      </c>
      <c r="G39" s="48">
        <v>15</v>
      </c>
      <c r="H39" s="48">
        <v>13</v>
      </c>
      <c r="I39" s="48">
        <v>15</v>
      </c>
      <c r="J39" s="47">
        <f t="shared" si="0"/>
        <v>80</v>
      </c>
    </row>
    <row r="40" spans="1:10" x14ac:dyDescent="0.25">
      <c r="A40" s="15" t="s">
        <v>700</v>
      </c>
      <c r="B40" s="46" t="s">
        <v>131</v>
      </c>
      <c r="C40" s="46" t="s">
        <v>132</v>
      </c>
      <c r="D40" s="48">
        <v>9</v>
      </c>
      <c r="E40" s="48">
        <v>12</v>
      </c>
      <c r="F40" s="48">
        <v>11</v>
      </c>
      <c r="G40" s="48">
        <v>11</v>
      </c>
      <c r="H40" s="48">
        <v>12</v>
      </c>
      <c r="I40" s="48">
        <v>19</v>
      </c>
      <c r="J40" s="47">
        <f t="shared" si="0"/>
        <v>74</v>
      </c>
    </row>
    <row r="41" spans="1:10" x14ac:dyDescent="0.25">
      <c r="A41" s="46" t="s">
        <v>653</v>
      </c>
      <c r="B41" s="46" t="s">
        <v>291</v>
      </c>
      <c r="C41" s="46" t="s">
        <v>137</v>
      </c>
      <c r="D41" s="48">
        <v>5</v>
      </c>
      <c r="E41" s="48">
        <v>5</v>
      </c>
      <c r="F41" s="48">
        <v>5</v>
      </c>
      <c r="G41" s="48">
        <v>5</v>
      </c>
      <c r="H41" s="48">
        <v>5</v>
      </c>
      <c r="I41" s="48">
        <v>5</v>
      </c>
      <c r="J41" s="47">
        <f t="shared" si="0"/>
        <v>30</v>
      </c>
    </row>
    <row r="42" spans="1:10" x14ac:dyDescent="0.25">
      <c r="A42" s="15" t="s">
        <v>650</v>
      </c>
      <c r="B42" s="46" t="s">
        <v>295</v>
      </c>
      <c r="C42" s="46" t="s">
        <v>132</v>
      </c>
      <c r="D42" s="48">
        <v>10</v>
      </c>
      <c r="E42" s="48">
        <v>11</v>
      </c>
      <c r="F42" s="48">
        <v>11</v>
      </c>
      <c r="G42" s="48">
        <v>21</v>
      </c>
      <c r="H42" s="48">
        <v>15</v>
      </c>
      <c r="I42" s="48">
        <v>16</v>
      </c>
      <c r="J42" s="47">
        <f t="shared" si="0"/>
        <v>84</v>
      </c>
    </row>
    <row r="43" spans="1:10" x14ac:dyDescent="0.25">
      <c r="A43" s="46" t="s">
        <v>654</v>
      </c>
      <c r="B43" s="46" t="s">
        <v>174</v>
      </c>
      <c r="C43" s="46" t="s">
        <v>137</v>
      </c>
      <c r="D43" s="48">
        <v>6</v>
      </c>
      <c r="E43" s="48">
        <v>6</v>
      </c>
      <c r="F43" s="48">
        <v>5</v>
      </c>
      <c r="G43" s="48">
        <v>7</v>
      </c>
      <c r="H43" s="48">
        <v>5</v>
      </c>
      <c r="I43" s="48">
        <v>6</v>
      </c>
      <c r="J43" s="47">
        <f t="shared" si="0"/>
        <v>35</v>
      </c>
    </row>
    <row r="44" spans="1:10" x14ac:dyDescent="0.25">
      <c r="A44" s="46" t="s">
        <v>655</v>
      </c>
      <c r="B44" s="46" t="s">
        <v>302</v>
      </c>
      <c r="C44" s="46" t="s">
        <v>137</v>
      </c>
      <c r="D44" s="48">
        <v>11</v>
      </c>
      <c r="E44" s="48">
        <v>16</v>
      </c>
      <c r="F44" s="48">
        <v>16</v>
      </c>
      <c r="G44" s="48">
        <v>9</v>
      </c>
      <c r="H44" s="48">
        <v>5</v>
      </c>
      <c r="I44" s="48">
        <v>9</v>
      </c>
      <c r="J44" s="47">
        <f t="shared" si="0"/>
        <v>66</v>
      </c>
    </row>
    <row r="45" spans="1:10" x14ac:dyDescent="0.25">
      <c r="A45" s="15" t="s">
        <v>596</v>
      </c>
      <c r="B45" s="46" t="s">
        <v>306</v>
      </c>
      <c r="C45" s="46" t="s">
        <v>142</v>
      </c>
      <c r="D45" s="48">
        <v>13</v>
      </c>
      <c r="E45" s="48">
        <v>11</v>
      </c>
      <c r="F45" s="48">
        <v>17</v>
      </c>
      <c r="G45" s="48">
        <v>18</v>
      </c>
      <c r="H45" s="48">
        <v>11</v>
      </c>
      <c r="I45" s="48">
        <v>13</v>
      </c>
      <c r="J45" s="47">
        <f t="shared" si="0"/>
        <v>83</v>
      </c>
    </row>
    <row r="46" spans="1:10" x14ac:dyDescent="0.25">
      <c r="A46" s="15" t="s">
        <v>656</v>
      </c>
      <c r="B46" s="46" t="s">
        <v>256</v>
      </c>
      <c r="C46" s="46" t="s">
        <v>137</v>
      </c>
      <c r="D46" s="48">
        <v>22</v>
      </c>
      <c r="E46" s="48">
        <v>20</v>
      </c>
      <c r="F46" s="48">
        <v>23</v>
      </c>
      <c r="G46" s="48">
        <v>24</v>
      </c>
      <c r="H46" s="48">
        <v>21</v>
      </c>
      <c r="I46" s="48">
        <v>10</v>
      </c>
      <c r="J46" s="47">
        <f t="shared" si="0"/>
        <v>120</v>
      </c>
    </row>
    <row r="47" spans="1:10" x14ac:dyDescent="0.25">
      <c r="A47" s="46" t="s">
        <v>657</v>
      </c>
      <c r="B47" s="46" t="s">
        <v>174</v>
      </c>
      <c r="C47" s="46" t="s">
        <v>137</v>
      </c>
      <c r="D47" s="48">
        <v>5</v>
      </c>
      <c r="E47" s="48">
        <v>5</v>
      </c>
      <c r="F47" s="48">
        <v>8</v>
      </c>
      <c r="G47" s="48">
        <v>11</v>
      </c>
      <c r="H47" s="48">
        <v>5</v>
      </c>
      <c r="I47" s="48">
        <v>13</v>
      </c>
      <c r="J47" s="47">
        <f t="shared" si="0"/>
        <v>47</v>
      </c>
    </row>
    <row r="48" spans="1:10" x14ac:dyDescent="0.25">
      <c r="A48" s="46" t="s">
        <v>617</v>
      </c>
      <c r="B48" s="46" t="s">
        <v>65</v>
      </c>
      <c r="C48" s="46" t="s">
        <v>526</v>
      </c>
      <c r="D48" s="48">
        <v>11</v>
      </c>
      <c r="E48" s="48">
        <v>18</v>
      </c>
      <c r="F48" s="48">
        <v>17</v>
      </c>
      <c r="G48" s="48">
        <v>13</v>
      </c>
      <c r="H48" s="48">
        <v>10</v>
      </c>
      <c r="I48" s="48">
        <v>26</v>
      </c>
      <c r="J48" s="47">
        <f t="shared" si="0"/>
        <v>95</v>
      </c>
    </row>
    <row r="49" spans="1:10" x14ac:dyDescent="0.25">
      <c r="A49" s="15" t="s">
        <v>630</v>
      </c>
      <c r="B49" s="46" t="s">
        <v>178</v>
      </c>
      <c r="C49" s="46" t="s">
        <v>179</v>
      </c>
      <c r="D49" s="48">
        <v>16</v>
      </c>
      <c r="E49" s="48">
        <v>12</v>
      </c>
      <c r="F49" s="48">
        <v>16</v>
      </c>
      <c r="G49" s="48">
        <v>18</v>
      </c>
      <c r="H49" s="48">
        <v>12</v>
      </c>
      <c r="I49" s="48">
        <v>27</v>
      </c>
      <c r="J49" s="47">
        <f t="shared" si="0"/>
        <v>101</v>
      </c>
    </row>
    <row r="50" spans="1:10" x14ac:dyDescent="0.25">
      <c r="A50" s="15" t="s">
        <v>674</v>
      </c>
      <c r="B50" s="46" t="s">
        <v>324</v>
      </c>
      <c r="C50" s="46" t="s">
        <v>244</v>
      </c>
      <c r="D50" s="48">
        <v>12</v>
      </c>
      <c r="E50" s="48">
        <v>6</v>
      </c>
      <c r="F50" s="48">
        <v>7</v>
      </c>
      <c r="G50" s="48">
        <v>10</v>
      </c>
      <c r="H50" s="48">
        <v>5</v>
      </c>
      <c r="I50" s="48">
        <v>10</v>
      </c>
      <c r="J50" s="47">
        <f t="shared" si="0"/>
        <v>50</v>
      </c>
    </row>
    <row r="51" spans="1:10" x14ac:dyDescent="0.25">
      <c r="A51" s="46" t="s">
        <v>696</v>
      </c>
      <c r="B51" s="46" t="s">
        <v>328</v>
      </c>
      <c r="C51" s="46" t="s">
        <v>708</v>
      </c>
      <c r="D51" s="48">
        <v>9</v>
      </c>
      <c r="E51" s="48">
        <v>6</v>
      </c>
      <c r="F51" s="48">
        <v>6</v>
      </c>
      <c r="G51" s="48">
        <v>6</v>
      </c>
      <c r="H51" s="48">
        <v>6</v>
      </c>
      <c r="I51" s="48">
        <v>7</v>
      </c>
      <c r="J51" s="47">
        <f t="shared" si="0"/>
        <v>40</v>
      </c>
    </row>
    <row r="52" spans="1:10" x14ac:dyDescent="0.25">
      <c r="A52" s="7" t="s">
        <v>596</v>
      </c>
      <c r="B52" s="46" t="s">
        <v>147</v>
      </c>
      <c r="C52" s="46" t="s">
        <v>405</v>
      </c>
      <c r="D52" s="48">
        <v>10</v>
      </c>
      <c r="E52" s="48">
        <v>8</v>
      </c>
      <c r="F52" s="48">
        <v>5</v>
      </c>
      <c r="G52" s="48">
        <v>9</v>
      </c>
      <c r="H52" s="48">
        <v>9</v>
      </c>
      <c r="I52" s="48">
        <v>9</v>
      </c>
      <c r="J52" s="47">
        <f t="shared" si="0"/>
        <v>50</v>
      </c>
    </row>
    <row r="53" spans="1:10" x14ac:dyDescent="0.25">
      <c r="A53" s="46" t="s">
        <v>682</v>
      </c>
      <c r="B53" s="46" t="s">
        <v>211</v>
      </c>
      <c r="C53" s="46" t="s">
        <v>526</v>
      </c>
      <c r="D53" s="48">
        <v>8</v>
      </c>
      <c r="E53" s="48">
        <v>10</v>
      </c>
      <c r="F53" s="48">
        <v>10</v>
      </c>
      <c r="G53" s="48">
        <v>12</v>
      </c>
      <c r="H53" s="48">
        <v>14</v>
      </c>
      <c r="I53" s="48">
        <v>11</v>
      </c>
      <c r="J53" s="47">
        <f t="shared" si="0"/>
        <v>65</v>
      </c>
    </row>
    <row r="54" spans="1:10" x14ac:dyDescent="0.25">
      <c r="A54" s="15" t="s">
        <v>608</v>
      </c>
      <c r="B54" s="46" t="s">
        <v>338</v>
      </c>
      <c r="C54" s="46" t="s">
        <v>405</v>
      </c>
      <c r="D54" s="48">
        <v>5</v>
      </c>
      <c r="E54" s="48">
        <v>5</v>
      </c>
      <c r="F54" s="48">
        <v>6</v>
      </c>
      <c r="G54" s="48">
        <v>6</v>
      </c>
      <c r="H54" s="48">
        <v>5</v>
      </c>
      <c r="I54" s="48">
        <v>5</v>
      </c>
      <c r="J54" s="47">
        <f t="shared" si="0"/>
        <v>32</v>
      </c>
    </row>
    <row r="55" spans="1:10" x14ac:dyDescent="0.25">
      <c r="A55" s="15" t="s">
        <v>639</v>
      </c>
      <c r="B55" s="46" t="s">
        <v>342</v>
      </c>
      <c r="C55" s="46" t="s">
        <v>179</v>
      </c>
      <c r="D55" s="48">
        <v>10</v>
      </c>
      <c r="E55" s="48">
        <v>7</v>
      </c>
      <c r="F55" s="48">
        <v>11</v>
      </c>
      <c r="G55" s="48">
        <v>12</v>
      </c>
      <c r="H55" s="48">
        <v>9</v>
      </c>
      <c r="I55" s="48">
        <v>9</v>
      </c>
      <c r="J55" s="47">
        <f t="shared" si="0"/>
        <v>58</v>
      </c>
    </row>
    <row r="56" spans="1:10" x14ac:dyDescent="0.25">
      <c r="A56" s="15" t="s">
        <v>658</v>
      </c>
      <c r="B56" s="46" t="s">
        <v>347</v>
      </c>
      <c r="C56" s="46" t="s">
        <v>348</v>
      </c>
      <c r="D56" s="48">
        <v>8</v>
      </c>
      <c r="E56" s="48">
        <v>6</v>
      </c>
      <c r="F56" s="48">
        <v>8</v>
      </c>
      <c r="G56" s="48">
        <v>10</v>
      </c>
      <c r="H56" s="48">
        <v>6</v>
      </c>
      <c r="I56" s="48">
        <v>8</v>
      </c>
      <c r="J56" s="47">
        <f t="shared" si="0"/>
        <v>46</v>
      </c>
    </row>
    <row r="57" spans="1:10" x14ac:dyDescent="0.25">
      <c r="A57" s="46" t="s">
        <v>689</v>
      </c>
      <c r="B57" s="46" t="s">
        <v>211</v>
      </c>
      <c r="C57" s="46" t="s">
        <v>526</v>
      </c>
      <c r="D57" s="48">
        <v>19</v>
      </c>
      <c r="E57" s="48">
        <v>17</v>
      </c>
      <c r="F57" s="48">
        <v>18</v>
      </c>
      <c r="G57" s="48">
        <v>17</v>
      </c>
      <c r="H57" s="48">
        <v>20</v>
      </c>
      <c r="I57" s="48">
        <v>16</v>
      </c>
      <c r="J57" s="47">
        <f t="shared" si="0"/>
        <v>107</v>
      </c>
    </row>
    <row r="58" spans="1:10" x14ac:dyDescent="0.25">
      <c r="A58" s="15" t="s">
        <v>623</v>
      </c>
      <c r="B58" s="46" t="s">
        <v>211</v>
      </c>
      <c r="C58" s="46" t="s">
        <v>709</v>
      </c>
      <c r="D58" s="48">
        <v>7</v>
      </c>
      <c r="E58" s="48">
        <v>5</v>
      </c>
      <c r="F58" s="48">
        <v>11</v>
      </c>
      <c r="G58" s="48">
        <v>10</v>
      </c>
      <c r="H58" s="48">
        <v>5</v>
      </c>
      <c r="I58" s="48">
        <v>6</v>
      </c>
      <c r="J58" s="47">
        <f t="shared" si="0"/>
        <v>44</v>
      </c>
    </row>
    <row r="59" spans="1:10" x14ac:dyDescent="0.25">
      <c r="A59" s="15" t="s">
        <v>680</v>
      </c>
      <c r="B59" s="46" t="s">
        <v>126</v>
      </c>
      <c r="C59" s="46" t="s">
        <v>244</v>
      </c>
      <c r="D59" s="48">
        <v>5</v>
      </c>
      <c r="E59" s="48">
        <v>5</v>
      </c>
      <c r="F59" s="48">
        <v>5</v>
      </c>
      <c r="G59" s="48">
        <v>8</v>
      </c>
      <c r="H59" s="48">
        <v>5</v>
      </c>
      <c r="I59" s="48">
        <v>11</v>
      </c>
      <c r="J59" s="47">
        <f t="shared" si="0"/>
        <v>39</v>
      </c>
    </row>
    <row r="60" spans="1:10" x14ac:dyDescent="0.25">
      <c r="A60" s="15" t="s">
        <v>659</v>
      </c>
      <c r="B60" s="46" t="s">
        <v>174</v>
      </c>
      <c r="C60" s="46" t="s">
        <v>137</v>
      </c>
      <c r="D60" s="48">
        <v>11</v>
      </c>
      <c r="E60" s="48">
        <v>11</v>
      </c>
      <c r="F60" s="48">
        <v>10</v>
      </c>
      <c r="G60" s="48">
        <v>11</v>
      </c>
      <c r="H60" s="48">
        <v>13</v>
      </c>
      <c r="I60" s="48">
        <v>8</v>
      </c>
      <c r="J60" s="47">
        <f t="shared" si="0"/>
        <v>64</v>
      </c>
    </row>
    <row r="61" spans="1:10" x14ac:dyDescent="0.25">
      <c r="A61" s="15" t="s">
        <v>629</v>
      </c>
      <c r="B61" s="46" t="s">
        <v>256</v>
      </c>
      <c r="C61" s="46" t="s">
        <v>137</v>
      </c>
      <c r="D61" s="48">
        <v>9</v>
      </c>
      <c r="E61" s="48">
        <v>7</v>
      </c>
      <c r="F61" s="48">
        <v>13</v>
      </c>
      <c r="G61" s="48">
        <v>12</v>
      </c>
      <c r="H61" s="48">
        <v>12</v>
      </c>
      <c r="I61" s="48">
        <v>18</v>
      </c>
      <c r="J61" s="47">
        <f t="shared" si="0"/>
        <v>71</v>
      </c>
    </row>
    <row r="62" spans="1:10" x14ac:dyDescent="0.25">
      <c r="A62" s="15" t="s">
        <v>637</v>
      </c>
      <c r="B62" s="46" t="s">
        <v>370</v>
      </c>
      <c r="C62" s="46" t="s">
        <v>179</v>
      </c>
      <c r="D62" s="48">
        <v>8</v>
      </c>
      <c r="E62" s="48">
        <v>9</v>
      </c>
      <c r="F62" s="48">
        <v>9</v>
      </c>
      <c r="G62" s="48">
        <v>7</v>
      </c>
      <c r="H62" s="48">
        <v>6</v>
      </c>
      <c r="I62" s="48">
        <v>12</v>
      </c>
      <c r="J62" s="47">
        <f t="shared" si="0"/>
        <v>51</v>
      </c>
    </row>
    <row r="63" spans="1:10" x14ac:dyDescent="0.25">
      <c r="A63" s="15" t="s">
        <v>660</v>
      </c>
      <c r="B63" s="46" t="s">
        <v>256</v>
      </c>
      <c r="C63" s="46" t="s">
        <v>137</v>
      </c>
      <c r="D63" s="48">
        <v>6</v>
      </c>
      <c r="E63" s="48">
        <v>7</v>
      </c>
      <c r="F63" s="48">
        <v>12</v>
      </c>
      <c r="G63" s="48">
        <v>11</v>
      </c>
      <c r="H63" s="48">
        <v>9</v>
      </c>
      <c r="I63" s="48">
        <v>6</v>
      </c>
      <c r="J63" s="47">
        <f t="shared" si="0"/>
        <v>51</v>
      </c>
    </row>
    <row r="64" spans="1:10" x14ac:dyDescent="0.25">
      <c r="A64" s="46" t="s">
        <v>690</v>
      </c>
      <c r="B64" s="46" t="s">
        <v>211</v>
      </c>
      <c r="C64" s="46" t="s">
        <v>526</v>
      </c>
      <c r="D64" s="48">
        <v>7</v>
      </c>
      <c r="E64" s="48">
        <v>9</v>
      </c>
      <c r="F64" s="48">
        <v>12</v>
      </c>
      <c r="G64" s="48">
        <v>13</v>
      </c>
      <c r="H64" s="48">
        <v>12</v>
      </c>
      <c r="I64" s="48">
        <v>6</v>
      </c>
      <c r="J64" s="47">
        <f t="shared" si="0"/>
        <v>59</v>
      </c>
    </row>
    <row r="65" spans="1:10" x14ac:dyDescent="0.25">
      <c r="A65" s="15" t="s">
        <v>661</v>
      </c>
      <c r="B65" s="46" t="s">
        <v>174</v>
      </c>
      <c r="C65" s="46" t="s">
        <v>137</v>
      </c>
      <c r="D65" s="48">
        <v>5</v>
      </c>
      <c r="E65" s="48">
        <v>5</v>
      </c>
      <c r="F65" s="48">
        <v>9</v>
      </c>
      <c r="G65" s="48">
        <v>6</v>
      </c>
      <c r="H65" s="48">
        <v>6</v>
      </c>
      <c r="I65" s="48">
        <v>6</v>
      </c>
      <c r="J65" s="47">
        <f t="shared" si="0"/>
        <v>37</v>
      </c>
    </row>
    <row r="66" spans="1:10" x14ac:dyDescent="0.25">
      <c r="A66" s="15" t="s">
        <v>677</v>
      </c>
      <c r="B66" s="46" t="s">
        <v>384</v>
      </c>
      <c r="C66" s="46" t="s">
        <v>244</v>
      </c>
      <c r="D66" s="48">
        <v>5</v>
      </c>
      <c r="E66" s="48">
        <v>6</v>
      </c>
      <c r="F66" s="48">
        <v>12</v>
      </c>
      <c r="G66" s="48">
        <v>9</v>
      </c>
      <c r="H66" s="48">
        <v>6</v>
      </c>
      <c r="I66" s="48">
        <v>5</v>
      </c>
      <c r="J66" s="47">
        <f t="shared" si="0"/>
        <v>43</v>
      </c>
    </row>
    <row r="67" spans="1:10" x14ac:dyDescent="0.25">
      <c r="A67" s="46" t="s">
        <v>692</v>
      </c>
      <c r="B67" s="46" t="s">
        <v>211</v>
      </c>
      <c r="C67" s="46" t="s">
        <v>526</v>
      </c>
      <c r="D67" s="48">
        <v>5</v>
      </c>
      <c r="E67" s="48">
        <v>7</v>
      </c>
      <c r="F67" s="48">
        <v>12</v>
      </c>
      <c r="G67" s="48">
        <v>11</v>
      </c>
      <c r="H67" s="48">
        <v>9</v>
      </c>
      <c r="I67" s="48">
        <v>20</v>
      </c>
      <c r="J67" s="47">
        <f t="shared" ref="J67:J113" si="1">SUM(D67:I67)</f>
        <v>64</v>
      </c>
    </row>
    <row r="68" spans="1:10" x14ac:dyDescent="0.25">
      <c r="A68" s="7" t="s">
        <v>603</v>
      </c>
      <c r="B68" s="46" t="s">
        <v>67</v>
      </c>
      <c r="C68" s="46" t="s">
        <v>405</v>
      </c>
      <c r="D68" s="48">
        <v>7</v>
      </c>
      <c r="E68" s="48">
        <v>6</v>
      </c>
      <c r="F68" s="48">
        <v>8</v>
      </c>
      <c r="G68" s="48">
        <v>14</v>
      </c>
      <c r="H68" s="48">
        <v>7</v>
      </c>
      <c r="I68" s="48">
        <v>9</v>
      </c>
      <c r="J68" s="47">
        <f t="shared" si="1"/>
        <v>51</v>
      </c>
    </row>
    <row r="69" spans="1:10" x14ac:dyDescent="0.25">
      <c r="A69" s="15" t="s">
        <v>662</v>
      </c>
      <c r="B69" s="46" t="s">
        <v>397</v>
      </c>
      <c r="C69" s="46" t="s">
        <v>137</v>
      </c>
      <c r="D69" s="48">
        <v>19</v>
      </c>
      <c r="E69" s="48">
        <v>19</v>
      </c>
      <c r="F69" s="48">
        <v>27</v>
      </c>
      <c r="G69" s="48">
        <v>22</v>
      </c>
      <c r="H69" s="48">
        <v>21</v>
      </c>
      <c r="I69" s="48">
        <v>15</v>
      </c>
      <c r="J69" s="47">
        <f t="shared" si="1"/>
        <v>123</v>
      </c>
    </row>
    <row r="70" spans="1:10" x14ac:dyDescent="0.25">
      <c r="A70" s="15" t="s">
        <v>678</v>
      </c>
      <c r="B70" s="46" t="s">
        <v>126</v>
      </c>
      <c r="C70" s="46" t="s">
        <v>244</v>
      </c>
      <c r="D70" s="48">
        <v>10</v>
      </c>
      <c r="E70" s="48">
        <v>19</v>
      </c>
      <c r="F70" s="48">
        <v>16</v>
      </c>
      <c r="G70" s="48">
        <v>11</v>
      </c>
      <c r="H70" s="48">
        <v>20</v>
      </c>
      <c r="I70" s="48">
        <v>17</v>
      </c>
      <c r="J70" s="47">
        <f t="shared" si="1"/>
        <v>93</v>
      </c>
    </row>
    <row r="71" spans="1:10" x14ac:dyDescent="0.25">
      <c r="A71" s="46" t="s">
        <v>712</v>
      </c>
      <c r="B71" s="46" t="s">
        <v>404</v>
      </c>
      <c r="C71" s="46" t="s">
        <v>707</v>
      </c>
      <c r="D71" s="48">
        <v>16</v>
      </c>
      <c r="E71" s="48">
        <v>16</v>
      </c>
      <c r="F71" s="48">
        <v>17</v>
      </c>
      <c r="G71" s="48">
        <v>17</v>
      </c>
      <c r="H71" s="48">
        <v>12</v>
      </c>
      <c r="I71" s="48">
        <v>24</v>
      </c>
      <c r="J71" s="47">
        <f t="shared" si="1"/>
        <v>102</v>
      </c>
    </row>
    <row r="72" spans="1:10" x14ac:dyDescent="0.25">
      <c r="A72" s="15" t="s">
        <v>638</v>
      </c>
      <c r="B72" s="46" t="s">
        <v>409</v>
      </c>
      <c r="C72" s="46" t="s">
        <v>179</v>
      </c>
      <c r="D72" s="48">
        <v>8</v>
      </c>
      <c r="E72" s="48">
        <v>7</v>
      </c>
      <c r="F72" s="48">
        <v>7</v>
      </c>
      <c r="G72" s="48">
        <v>5</v>
      </c>
      <c r="H72" s="48">
        <v>7</v>
      </c>
      <c r="I72" s="48">
        <v>6</v>
      </c>
      <c r="J72" s="47">
        <f t="shared" si="1"/>
        <v>40</v>
      </c>
    </row>
    <row r="73" spans="1:10" x14ac:dyDescent="0.25">
      <c r="A73" s="15" t="s">
        <v>631</v>
      </c>
      <c r="B73" s="46" t="s">
        <v>413</v>
      </c>
      <c r="C73" s="46" t="s">
        <v>179</v>
      </c>
      <c r="D73" s="48">
        <v>7</v>
      </c>
      <c r="E73" s="48">
        <v>8</v>
      </c>
      <c r="F73" s="48">
        <v>11</v>
      </c>
      <c r="G73" s="48">
        <v>13</v>
      </c>
      <c r="H73" s="48">
        <v>8</v>
      </c>
      <c r="I73" s="48">
        <v>24</v>
      </c>
      <c r="J73" s="47">
        <f t="shared" si="1"/>
        <v>71</v>
      </c>
    </row>
    <row r="74" spans="1:10" x14ac:dyDescent="0.25">
      <c r="A74" s="46" t="s">
        <v>713</v>
      </c>
      <c r="B74" s="46" t="s">
        <v>418</v>
      </c>
      <c r="C74" s="46" t="s">
        <v>708</v>
      </c>
      <c r="D74" s="48">
        <v>5</v>
      </c>
      <c r="E74" s="48">
        <v>13</v>
      </c>
      <c r="F74" s="48">
        <v>20</v>
      </c>
      <c r="G74" s="48">
        <v>20</v>
      </c>
      <c r="H74" s="48">
        <v>9</v>
      </c>
      <c r="I74" s="48">
        <v>20</v>
      </c>
      <c r="J74" s="47">
        <f t="shared" si="1"/>
        <v>87</v>
      </c>
    </row>
    <row r="75" spans="1:10" x14ac:dyDescent="0.25">
      <c r="A75" s="46" t="s">
        <v>622</v>
      </c>
      <c r="B75" s="46" t="s">
        <v>211</v>
      </c>
      <c r="C75" s="46" t="s">
        <v>709</v>
      </c>
      <c r="D75" s="48">
        <v>6</v>
      </c>
      <c r="E75" s="48">
        <v>6</v>
      </c>
      <c r="F75" s="48">
        <v>12</v>
      </c>
      <c r="G75" s="48">
        <v>13</v>
      </c>
      <c r="H75" s="48">
        <v>5</v>
      </c>
      <c r="I75" s="48">
        <v>5</v>
      </c>
      <c r="J75" s="47">
        <f t="shared" si="1"/>
        <v>47</v>
      </c>
    </row>
    <row r="76" spans="1:10" x14ac:dyDescent="0.25">
      <c r="A76" s="46" t="s">
        <v>615</v>
      </c>
      <c r="B76" s="46" t="s">
        <v>169</v>
      </c>
      <c r="C76" s="46" t="s">
        <v>709</v>
      </c>
      <c r="D76" s="48">
        <v>13</v>
      </c>
      <c r="E76" s="48">
        <v>8</v>
      </c>
      <c r="F76" s="48">
        <v>11</v>
      </c>
      <c r="G76" s="48">
        <v>14</v>
      </c>
      <c r="H76" s="48">
        <v>14</v>
      </c>
      <c r="I76" s="48">
        <v>15</v>
      </c>
      <c r="J76" s="47">
        <f t="shared" si="1"/>
        <v>75</v>
      </c>
    </row>
    <row r="77" spans="1:10" x14ac:dyDescent="0.25">
      <c r="A77" s="46" t="s">
        <v>714</v>
      </c>
      <c r="B77" s="46" t="s">
        <v>430</v>
      </c>
      <c r="C77" s="46" t="s">
        <v>526</v>
      </c>
      <c r="D77" s="48">
        <v>11</v>
      </c>
      <c r="E77" s="48">
        <v>17</v>
      </c>
      <c r="F77" s="48">
        <v>23</v>
      </c>
      <c r="G77" s="48">
        <v>29</v>
      </c>
      <c r="H77" s="48">
        <v>29</v>
      </c>
      <c r="I77" s="48">
        <v>29</v>
      </c>
      <c r="J77" s="47">
        <f t="shared" si="1"/>
        <v>138</v>
      </c>
    </row>
    <row r="78" spans="1:10" x14ac:dyDescent="0.25">
      <c r="A78" s="15" t="s">
        <v>627</v>
      </c>
      <c r="B78" s="46" t="s">
        <v>183</v>
      </c>
      <c r="C78" s="46" t="s">
        <v>707</v>
      </c>
      <c r="D78" s="48">
        <v>5</v>
      </c>
      <c r="E78" s="48">
        <v>5</v>
      </c>
      <c r="F78" s="48">
        <v>8</v>
      </c>
      <c r="G78" s="48">
        <v>6</v>
      </c>
      <c r="H78" s="48">
        <v>6</v>
      </c>
      <c r="I78" s="48">
        <v>9</v>
      </c>
      <c r="J78" s="47">
        <f t="shared" si="1"/>
        <v>39</v>
      </c>
    </row>
    <row r="79" spans="1:10" x14ac:dyDescent="0.25">
      <c r="A79" s="15" t="s">
        <v>598</v>
      </c>
      <c r="B79" s="46" t="s">
        <v>141</v>
      </c>
      <c r="C79" s="46" t="s">
        <v>142</v>
      </c>
      <c r="D79" s="48">
        <v>13</v>
      </c>
      <c r="E79" s="48">
        <v>12</v>
      </c>
      <c r="F79" s="48">
        <v>15</v>
      </c>
      <c r="G79" s="48">
        <v>16</v>
      </c>
      <c r="H79" s="48">
        <v>14</v>
      </c>
      <c r="I79" s="48">
        <v>18</v>
      </c>
      <c r="J79" s="47">
        <f t="shared" si="1"/>
        <v>88</v>
      </c>
    </row>
    <row r="80" spans="1:10" x14ac:dyDescent="0.25">
      <c r="A80" s="46" t="s">
        <v>683</v>
      </c>
      <c r="B80" s="46" t="s">
        <v>211</v>
      </c>
      <c r="C80" s="46" t="s">
        <v>526</v>
      </c>
      <c r="D80" s="48">
        <v>6</v>
      </c>
      <c r="E80" s="48">
        <v>7</v>
      </c>
      <c r="F80" s="48">
        <v>9</v>
      </c>
      <c r="G80" s="48">
        <v>8</v>
      </c>
      <c r="H80" s="48">
        <v>7</v>
      </c>
      <c r="I80" s="48">
        <v>9</v>
      </c>
      <c r="J80" s="47">
        <f t="shared" si="1"/>
        <v>46</v>
      </c>
    </row>
    <row r="81" spans="1:10" x14ac:dyDescent="0.25">
      <c r="A81" s="46" t="s">
        <v>610</v>
      </c>
      <c r="B81" s="46" t="s">
        <v>444</v>
      </c>
      <c r="C81" s="46" t="s">
        <v>526</v>
      </c>
      <c r="D81" s="48">
        <v>5</v>
      </c>
      <c r="E81" s="48">
        <v>6</v>
      </c>
      <c r="F81" s="48">
        <v>11</v>
      </c>
      <c r="G81" s="48">
        <v>8</v>
      </c>
      <c r="H81" s="48">
        <v>5</v>
      </c>
      <c r="I81" s="48">
        <v>21</v>
      </c>
      <c r="J81" s="47">
        <f t="shared" si="1"/>
        <v>56</v>
      </c>
    </row>
    <row r="82" spans="1:10" x14ac:dyDescent="0.25">
      <c r="A82" s="15" t="s">
        <v>671</v>
      </c>
      <c r="B82" s="46" t="s">
        <v>178</v>
      </c>
      <c r="C82" s="46" t="s">
        <v>179</v>
      </c>
      <c r="D82" s="48">
        <v>5</v>
      </c>
      <c r="E82" s="48">
        <v>5</v>
      </c>
      <c r="F82" s="48">
        <v>5</v>
      </c>
      <c r="G82" s="48">
        <v>10</v>
      </c>
      <c r="H82" s="48">
        <v>5</v>
      </c>
      <c r="I82" s="48">
        <v>8</v>
      </c>
      <c r="J82" s="47">
        <f t="shared" si="1"/>
        <v>38</v>
      </c>
    </row>
    <row r="83" spans="1:10" x14ac:dyDescent="0.25">
      <c r="A83" s="15" t="s">
        <v>632</v>
      </c>
      <c r="B83" s="46" t="s">
        <v>453</v>
      </c>
      <c r="C83" s="46" t="s">
        <v>179</v>
      </c>
      <c r="D83" s="48">
        <v>5</v>
      </c>
      <c r="E83" s="48">
        <v>5</v>
      </c>
      <c r="F83" s="48">
        <v>5</v>
      </c>
      <c r="G83" s="48">
        <v>5</v>
      </c>
      <c r="H83" s="48">
        <v>5</v>
      </c>
      <c r="I83" s="48">
        <v>5</v>
      </c>
      <c r="J83" s="47">
        <f t="shared" si="1"/>
        <v>30</v>
      </c>
    </row>
    <row r="84" spans="1:10" x14ac:dyDescent="0.25">
      <c r="A84" s="46" t="s">
        <v>663</v>
      </c>
      <c r="B84" s="46" t="s">
        <v>174</v>
      </c>
      <c r="C84" s="46" t="s">
        <v>137</v>
      </c>
      <c r="D84" s="48">
        <v>10</v>
      </c>
      <c r="E84" s="48">
        <v>12</v>
      </c>
      <c r="F84" s="48">
        <v>17</v>
      </c>
      <c r="G84" s="48">
        <v>18</v>
      </c>
      <c r="H84" s="48">
        <v>15</v>
      </c>
      <c r="I84" s="48">
        <v>20</v>
      </c>
      <c r="J84" s="47">
        <f t="shared" si="1"/>
        <v>92</v>
      </c>
    </row>
    <row r="85" spans="1:10" x14ac:dyDescent="0.25">
      <c r="A85" s="46" t="s">
        <v>620</v>
      </c>
      <c r="B85" s="46" t="s">
        <v>211</v>
      </c>
      <c r="C85" s="46" t="s">
        <v>709</v>
      </c>
      <c r="D85" s="48">
        <v>5</v>
      </c>
      <c r="E85" s="48">
        <v>5</v>
      </c>
      <c r="F85" s="48">
        <v>5</v>
      </c>
      <c r="G85" s="48">
        <v>6</v>
      </c>
      <c r="H85" s="48">
        <v>5</v>
      </c>
      <c r="I85" s="48">
        <v>5</v>
      </c>
      <c r="J85" s="47">
        <f t="shared" si="1"/>
        <v>31</v>
      </c>
    </row>
    <row r="86" spans="1:10" x14ac:dyDescent="0.25">
      <c r="A86" s="46" t="s">
        <v>611</v>
      </c>
      <c r="B86" s="46" t="s">
        <v>211</v>
      </c>
      <c r="C86" s="46" t="s">
        <v>526</v>
      </c>
      <c r="D86" s="48">
        <v>12</v>
      </c>
      <c r="E86" s="48">
        <v>8</v>
      </c>
      <c r="F86" s="48">
        <v>8</v>
      </c>
      <c r="G86" s="48">
        <v>12</v>
      </c>
      <c r="H86" s="48">
        <v>9</v>
      </c>
      <c r="I86" s="48">
        <v>7</v>
      </c>
      <c r="J86" s="47">
        <f t="shared" si="1"/>
        <v>56</v>
      </c>
    </row>
    <row r="87" spans="1:10" x14ac:dyDescent="0.25">
      <c r="A87" s="46" t="s">
        <v>664</v>
      </c>
      <c r="B87" s="46" t="s">
        <v>256</v>
      </c>
      <c r="C87" s="46" t="s">
        <v>137</v>
      </c>
      <c r="D87" s="48">
        <v>9</v>
      </c>
      <c r="E87" s="48">
        <v>9</v>
      </c>
      <c r="F87" s="48">
        <v>9</v>
      </c>
      <c r="G87" s="48">
        <v>11</v>
      </c>
      <c r="H87" s="48">
        <v>14</v>
      </c>
      <c r="I87" s="48">
        <v>10</v>
      </c>
      <c r="J87" s="47">
        <f t="shared" si="1"/>
        <v>62</v>
      </c>
    </row>
    <row r="88" spans="1:10" x14ac:dyDescent="0.25">
      <c r="A88" s="15" t="s">
        <v>600</v>
      </c>
      <c r="B88" s="46" t="s">
        <v>469</v>
      </c>
      <c r="C88" s="46" t="s">
        <v>558</v>
      </c>
      <c r="D88" s="48">
        <v>7</v>
      </c>
      <c r="E88" s="48">
        <v>9</v>
      </c>
      <c r="F88" s="48">
        <v>17</v>
      </c>
      <c r="G88" s="48">
        <v>15</v>
      </c>
      <c r="H88" s="48">
        <v>10</v>
      </c>
      <c r="I88" s="48">
        <v>15</v>
      </c>
      <c r="J88" s="47">
        <f t="shared" si="1"/>
        <v>73</v>
      </c>
    </row>
    <row r="89" spans="1:10" x14ac:dyDescent="0.25">
      <c r="A89" s="46" t="s">
        <v>612</v>
      </c>
      <c r="B89" s="46" t="s">
        <v>474</v>
      </c>
      <c r="C89" s="46" t="s">
        <v>526</v>
      </c>
      <c r="D89" s="48">
        <v>7</v>
      </c>
      <c r="E89" s="48">
        <v>8</v>
      </c>
      <c r="F89" s="48">
        <v>8</v>
      </c>
      <c r="G89" s="48">
        <v>11</v>
      </c>
      <c r="H89" s="48">
        <v>11</v>
      </c>
      <c r="I89" s="48">
        <v>5</v>
      </c>
      <c r="J89" s="47">
        <f t="shared" si="1"/>
        <v>50</v>
      </c>
    </row>
    <row r="90" spans="1:10" x14ac:dyDescent="0.25">
      <c r="A90" s="46" t="s">
        <v>684</v>
      </c>
      <c r="B90" s="46" t="s">
        <v>478</v>
      </c>
      <c r="C90" s="46" t="s">
        <v>526</v>
      </c>
      <c r="D90" s="48">
        <v>10</v>
      </c>
      <c r="E90" s="48">
        <v>7</v>
      </c>
      <c r="F90" s="48">
        <v>11</v>
      </c>
      <c r="G90" s="48">
        <v>13</v>
      </c>
      <c r="H90" s="48">
        <v>14</v>
      </c>
      <c r="I90" s="48">
        <v>12</v>
      </c>
      <c r="J90" s="47">
        <f t="shared" si="1"/>
        <v>67</v>
      </c>
    </row>
    <row r="91" spans="1:10" x14ac:dyDescent="0.25">
      <c r="A91" s="52" t="s">
        <v>613</v>
      </c>
      <c r="B91" s="46" t="s">
        <v>482</v>
      </c>
      <c r="C91" s="46" t="s">
        <v>405</v>
      </c>
      <c r="D91" s="48">
        <v>5</v>
      </c>
      <c r="E91" s="48">
        <v>8</v>
      </c>
      <c r="F91" s="48">
        <v>15</v>
      </c>
      <c r="G91" s="48">
        <v>10</v>
      </c>
      <c r="H91" s="48">
        <v>5</v>
      </c>
      <c r="I91" s="48">
        <v>23</v>
      </c>
      <c r="J91" s="47">
        <f t="shared" si="1"/>
        <v>66</v>
      </c>
    </row>
    <row r="92" spans="1:10" x14ac:dyDescent="0.25">
      <c r="A92" s="15" t="s">
        <v>628</v>
      </c>
      <c r="B92" s="46" t="s">
        <v>183</v>
      </c>
      <c r="C92" s="46" t="s">
        <v>707</v>
      </c>
      <c r="D92" s="48">
        <v>8</v>
      </c>
      <c r="E92" s="48">
        <v>7</v>
      </c>
      <c r="F92" s="48">
        <v>12</v>
      </c>
      <c r="G92" s="48">
        <v>12</v>
      </c>
      <c r="H92" s="48">
        <v>7</v>
      </c>
      <c r="I92" s="48">
        <v>9</v>
      </c>
      <c r="J92" s="47">
        <f t="shared" si="1"/>
        <v>55</v>
      </c>
    </row>
    <row r="93" spans="1:10" x14ac:dyDescent="0.25">
      <c r="A93" s="46" t="s">
        <v>685</v>
      </c>
      <c r="B93" s="46" t="s">
        <v>489</v>
      </c>
      <c r="C93" s="46" t="s">
        <v>526</v>
      </c>
      <c r="D93" s="48">
        <v>5</v>
      </c>
      <c r="E93" s="48">
        <v>6</v>
      </c>
      <c r="F93" s="48">
        <v>14</v>
      </c>
      <c r="G93" s="48">
        <v>15</v>
      </c>
      <c r="H93" s="48">
        <v>6</v>
      </c>
      <c r="I93" s="48">
        <v>13</v>
      </c>
      <c r="J93" s="47">
        <f t="shared" si="1"/>
        <v>59</v>
      </c>
    </row>
    <row r="94" spans="1:10" x14ac:dyDescent="0.25">
      <c r="A94" s="46" t="s">
        <v>665</v>
      </c>
      <c r="B94" s="46" t="s">
        <v>174</v>
      </c>
      <c r="C94" s="46" t="s">
        <v>137</v>
      </c>
      <c r="D94" s="48">
        <v>14</v>
      </c>
      <c r="E94" s="48">
        <v>15</v>
      </c>
      <c r="F94" s="48">
        <v>9</v>
      </c>
      <c r="G94" s="48">
        <v>17</v>
      </c>
      <c r="H94" s="48">
        <v>20</v>
      </c>
      <c r="I94" s="48">
        <v>19</v>
      </c>
      <c r="J94" s="47">
        <f t="shared" si="1"/>
        <v>94</v>
      </c>
    </row>
    <row r="95" spans="1:10" x14ac:dyDescent="0.25">
      <c r="A95" s="15" t="s">
        <v>629</v>
      </c>
      <c r="B95" s="46" t="s">
        <v>183</v>
      </c>
      <c r="C95" s="46" t="s">
        <v>707</v>
      </c>
      <c r="D95" s="48">
        <v>6</v>
      </c>
      <c r="E95" s="48">
        <v>7</v>
      </c>
      <c r="F95" s="48">
        <v>8</v>
      </c>
      <c r="G95" s="48">
        <v>7</v>
      </c>
      <c r="H95" s="48">
        <v>6</v>
      </c>
      <c r="I95" s="48">
        <v>5</v>
      </c>
      <c r="J95" s="47">
        <f t="shared" si="1"/>
        <v>39</v>
      </c>
    </row>
    <row r="96" spans="1:10" x14ac:dyDescent="0.25">
      <c r="A96" s="46" t="s">
        <v>711</v>
      </c>
      <c r="B96" s="46" t="s">
        <v>499</v>
      </c>
      <c r="C96" s="46" t="s">
        <v>137</v>
      </c>
      <c r="D96" s="48">
        <v>11</v>
      </c>
      <c r="E96" s="48">
        <v>10</v>
      </c>
      <c r="F96" s="48">
        <v>14</v>
      </c>
      <c r="G96" s="48">
        <v>15</v>
      </c>
      <c r="H96" s="48">
        <v>12</v>
      </c>
      <c r="I96" s="48">
        <v>19</v>
      </c>
      <c r="J96" s="47">
        <f t="shared" si="1"/>
        <v>81</v>
      </c>
    </row>
    <row r="97" spans="1:10" x14ac:dyDescent="0.25">
      <c r="A97" s="46" t="s">
        <v>666</v>
      </c>
      <c r="B97" s="46" t="s">
        <v>174</v>
      </c>
      <c r="C97" s="46" t="s">
        <v>137</v>
      </c>
      <c r="D97" s="48">
        <v>15</v>
      </c>
      <c r="E97" s="48">
        <v>6</v>
      </c>
      <c r="F97" s="48">
        <v>18</v>
      </c>
      <c r="G97" s="48">
        <v>16</v>
      </c>
      <c r="H97" s="48">
        <v>21</v>
      </c>
      <c r="I97" s="48">
        <v>19</v>
      </c>
      <c r="J97" s="47">
        <f t="shared" si="1"/>
        <v>95</v>
      </c>
    </row>
    <row r="98" spans="1:10" x14ac:dyDescent="0.25">
      <c r="A98" s="46" t="s">
        <v>667</v>
      </c>
      <c r="B98" s="46" t="s">
        <v>116</v>
      </c>
      <c r="C98" s="46" t="s">
        <v>137</v>
      </c>
      <c r="D98" s="48">
        <v>10</v>
      </c>
      <c r="E98" s="48">
        <v>14</v>
      </c>
      <c r="F98" s="48">
        <v>5</v>
      </c>
      <c r="G98" s="48">
        <v>11</v>
      </c>
      <c r="H98" s="48">
        <v>6</v>
      </c>
      <c r="I98" s="48">
        <v>12</v>
      </c>
      <c r="J98" s="47">
        <f t="shared" si="1"/>
        <v>58</v>
      </c>
    </row>
    <row r="99" spans="1:10" x14ac:dyDescent="0.25">
      <c r="A99" s="46" t="s">
        <v>686</v>
      </c>
      <c r="B99" s="46" t="s">
        <v>211</v>
      </c>
      <c r="C99" s="46" t="s">
        <v>526</v>
      </c>
      <c r="D99" s="48">
        <v>5</v>
      </c>
      <c r="E99" s="48">
        <v>8</v>
      </c>
      <c r="F99" s="48">
        <v>5</v>
      </c>
      <c r="G99" s="48">
        <v>8</v>
      </c>
      <c r="H99" s="48">
        <v>7</v>
      </c>
      <c r="I99" s="48">
        <v>6</v>
      </c>
      <c r="J99" s="47">
        <f t="shared" si="1"/>
        <v>39</v>
      </c>
    </row>
    <row r="100" spans="1:10" x14ac:dyDescent="0.25">
      <c r="A100" s="7" t="s">
        <v>602</v>
      </c>
      <c r="B100" s="46" t="s">
        <v>512</v>
      </c>
      <c r="C100" s="46" t="s">
        <v>405</v>
      </c>
      <c r="D100" s="48">
        <v>7</v>
      </c>
      <c r="E100" s="48">
        <v>10</v>
      </c>
      <c r="F100" s="48">
        <v>12</v>
      </c>
      <c r="G100" s="48">
        <v>10</v>
      </c>
      <c r="H100" s="48">
        <v>7</v>
      </c>
      <c r="I100" s="48">
        <v>27</v>
      </c>
      <c r="J100" s="47">
        <f t="shared" si="1"/>
        <v>73</v>
      </c>
    </row>
    <row r="101" spans="1:10" x14ac:dyDescent="0.25">
      <c r="A101" s="15" t="s">
        <v>635</v>
      </c>
      <c r="B101" s="46" t="s">
        <v>516</v>
      </c>
      <c r="C101" s="46" t="s">
        <v>179</v>
      </c>
      <c r="D101" s="48">
        <v>12</v>
      </c>
      <c r="E101" s="48">
        <v>10</v>
      </c>
      <c r="F101" s="48">
        <v>12</v>
      </c>
      <c r="G101" s="48">
        <v>14</v>
      </c>
      <c r="H101" s="48">
        <v>16</v>
      </c>
      <c r="I101" s="48">
        <v>15</v>
      </c>
      <c r="J101" s="47">
        <f t="shared" si="1"/>
        <v>79</v>
      </c>
    </row>
    <row r="102" spans="1:10" x14ac:dyDescent="0.25">
      <c r="A102" s="15" t="s">
        <v>636</v>
      </c>
      <c r="B102" s="46" t="s">
        <v>520</v>
      </c>
      <c r="C102" s="46" t="s">
        <v>179</v>
      </c>
      <c r="D102" s="48">
        <v>17</v>
      </c>
      <c r="E102" s="48">
        <v>8</v>
      </c>
      <c r="F102" s="48">
        <v>14</v>
      </c>
      <c r="G102" s="48">
        <v>19</v>
      </c>
      <c r="H102" s="48">
        <v>12</v>
      </c>
      <c r="I102" s="48">
        <v>33</v>
      </c>
      <c r="J102" s="47">
        <f t="shared" si="1"/>
        <v>103</v>
      </c>
    </row>
    <row r="103" spans="1:10" x14ac:dyDescent="0.25">
      <c r="A103" s="46" t="s">
        <v>715</v>
      </c>
      <c r="B103" s="46" t="s">
        <v>525</v>
      </c>
      <c r="C103" s="46" t="s">
        <v>526</v>
      </c>
      <c r="D103" s="48">
        <v>8</v>
      </c>
      <c r="E103" s="48">
        <v>9</v>
      </c>
      <c r="F103" s="48">
        <v>14</v>
      </c>
      <c r="G103" s="48">
        <v>13</v>
      </c>
      <c r="H103" s="48">
        <v>7</v>
      </c>
      <c r="I103" s="48">
        <v>12</v>
      </c>
      <c r="J103" s="47">
        <f t="shared" si="1"/>
        <v>63</v>
      </c>
    </row>
    <row r="104" spans="1:10" x14ac:dyDescent="0.25">
      <c r="A104" s="46" t="s">
        <v>694</v>
      </c>
      <c r="B104" s="46" t="s">
        <v>530</v>
      </c>
      <c r="C104" s="46" t="s">
        <v>526</v>
      </c>
      <c r="D104" s="48">
        <v>13</v>
      </c>
      <c r="E104" s="48">
        <v>10</v>
      </c>
      <c r="F104" s="48">
        <v>14</v>
      </c>
      <c r="G104" s="48">
        <v>16</v>
      </c>
      <c r="H104" s="48">
        <v>13</v>
      </c>
      <c r="I104" s="48">
        <v>9</v>
      </c>
      <c r="J104" s="47">
        <f t="shared" si="1"/>
        <v>75</v>
      </c>
    </row>
    <row r="105" spans="1:10" x14ac:dyDescent="0.25">
      <c r="A105" s="15" t="s">
        <v>599</v>
      </c>
      <c r="B105" s="46" t="s">
        <v>535</v>
      </c>
      <c r="C105" s="46" t="s">
        <v>142</v>
      </c>
      <c r="D105" s="48">
        <v>10</v>
      </c>
      <c r="E105" s="48">
        <v>12</v>
      </c>
      <c r="F105" s="48">
        <v>25</v>
      </c>
      <c r="G105" s="48">
        <v>19</v>
      </c>
      <c r="H105" s="48">
        <v>10</v>
      </c>
      <c r="I105" s="48">
        <v>14</v>
      </c>
      <c r="J105" s="47">
        <f t="shared" si="1"/>
        <v>90</v>
      </c>
    </row>
    <row r="106" spans="1:10" x14ac:dyDescent="0.25">
      <c r="A106" s="46" t="s">
        <v>614</v>
      </c>
      <c r="B106" s="46" t="s">
        <v>540</v>
      </c>
      <c r="C106" s="46" t="s">
        <v>526</v>
      </c>
      <c r="D106" s="48">
        <v>13</v>
      </c>
      <c r="E106" s="48">
        <v>15</v>
      </c>
      <c r="F106" s="48">
        <v>12</v>
      </c>
      <c r="G106" s="48">
        <v>13</v>
      </c>
      <c r="H106" s="48">
        <v>11</v>
      </c>
      <c r="I106" s="48">
        <v>13</v>
      </c>
      <c r="J106" s="47">
        <f t="shared" si="1"/>
        <v>77</v>
      </c>
    </row>
    <row r="107" spans="1:10" x14ac:dyDescent="0.25">
      <c r="A107" s="46" t="s">
        <v>615</v>
      </c>
      <c r="B107" s="46" t="s">
        <v>545</v>
      </c>
      <c r="C107" s="46" t="s">
        <v>526</v>
      </c>
      <c r="D107" s="48">
        <v>11</v>
      </c>
      <c r="E107" s="48">
        <v>11</v>
      </c>
      <c r="F107" s="48">
        <v>18</v>
      </c>
      <c r="G107" s="48">
        <v>15</v>
      </c>
      <c r="H107" s="48">
        <v>15</v>
      </c>
      <c r="I107" s="48">
        <v>25</v>
      </c>
      <c r="J107" s="47">
        <f t="shared" si="1"/>
        <v>95</v>
      </c>
    </row>
    <row r="108" spans="1:10" x14ac:dyDescent="0.25">
      <c r="A108" s="46" t="s">
        <v>687</v>
      </c>
      <c r="B108" s="46" t="s">
        <v>211</v>
      </c>
      <c r="C108" s="46" t="s">
        <v>526</v>
      </c>
      <c r="D108" s="48">
        <v>15</v>
      </c>
      <c r="E108" s="48">
        <v>14</v>
      </c>
      <c r="F108" s="48">
        <v>21</v>
      </c>
      <c r="G108" s="48">
        <v>18</v>
      </c>
      <c r="H108" s="48">
        <v>15</v>
      </c>
      <c r="I108" s="48">
        <v>16</v>
      </c>
      <c r="J108" s="47">
        <f t="shared" si="1"/>
        <v>99</v>
      </c>
    </row>
    <row r="109" spans="1:10" x14ac:dyDescent="0.25">
      <c r="A109" s="15" t="s">
        <v>624</v>
      </c>
      <c r="B109" s="46" t="s">
        <v>552</v>
      </c>
      <c r="C109" s="46" t="s">
        <v>707</v>
      </c>
      <c r="D109" s="48">
        <v>13</v>
      </c>
      <c r="E109" s="48">
        <v>14</v>
      </c>
      <c r="F109" s="48">
        <v>20</v>
      </c>
      <c r="G109" s="48">
        <v>21</v>
      </c>
      <c r="H109" s="48">
        <v>17</v>
      </c>
      <c r="I109" s="48">
        <v>16</v>
      </c>
      <c r="J109" s="47">
        <f t="shared" si="1"/>
        <v>101</v>
      </c>
    </row>
    <row r="110" spans="1:10" x14ac:dyDescent="0.25">
      <c r="A110" s="15" t="s">
        <v>601</v>
      </c>
      <c r="B110" s="46" t="s">
        <v>557</v>
      </c>
      <c r="C110" s="46" t="s">
        <v>558</v>
      </c>
      <c r="D110" s="48">
        <v>11</v>
      </c>
      <c r="E110" s="48">
        <v>12</v>
      </c>
      <c r="F110" s="48">
        <v>17</v>
      </c>
      <c r="G110" s="48">
        <v>15</v>
      </c>
      <c r="H110" s="48">
        <v>8</v>
      </c>
      <c r="I110" s="48">
        <v>22</v>
      </c>
      <c r="J110" s="47">
        <f t="shared" si="1"/>
        <v>85</v>
      </c>
    </row>
    <row r="111" spans="1:10" x14ac:dyDescent="0.25">
      <c r="A111" s="46" t="s">
        <v>668</v>
      </c>
      <c r="B111" s="46" t="s">
        <v>562</v>
      </c>
      <c r="C111" s="46" t="s">
        <v>137</v>
      </c>
      <c r="D111" s="48">
        <v>15</v>
      </c>
      <c r="E111" s="48">
        <v>12</v>
      </c>
      <c r="F111" s="48">
        <v>17</v>
      </c>
      <c r="G111" s="48">
        <v>17</v>
      </c>
      <c r="H111" s="48">
        <v>14</v>
      </c>
      <c r="I111" s="48">
        <v>22</v>
      </c>
      <c r="J111" s="47">
        <f t="shared" si="1"/>
        <v>97</v>
      </c>
    </row>
    <row r="112" spans="1:10" x14ac:dyDescent="0.25">
      <c r="A112" s="46" t="s">
        <v>616</v>
      </c>
      <c r="B112" s="46" t="s">
        <v>211</v>
      </c>
      <c r="C112" s="46" t="s">
        <v>707</v>
      </c>
      <c r="D112" s="48">
        <v>6</v>
      </c>
      <c r="E112" s="48">
        <v>8</v>
      </c>
      <c r="F112" s="48">
        <v>9</v>
      </c>
      <c r="G112" s="48">
        <v>8</v>
      </c>
      <c r="H112" s="48">
        <v>8</v>
      </c>
      <c r="I112" s="48">
        <v>22</v>
      </c>
      <c r="J112" s="47">
        <f t="shared" si="1"/>
        <v>61</v>
      </c>
    </row>
    <row r="113" spans="1:10" x14ac:dyDescent="0.25">
      <c r="A113" s="46" t="s">
        <v>688</v>
      </c>
      <c r="B113" s="46" t="s">
        <v>444</v>
      </c>
      <c r="C113" s="46" t="s">
        <v>526</v>
      </c>
      <c r="D113" s="49">
        <v>18</v>
      </c>
      <c r="E113" s="49">
        <v>15</v>
      </c>
      <c r="F113" s="49">
        <v>18</v>
      </c>
      <c r="G113" s="49">
        <v>18</v>
      </c>
      <c r="H113" s="49">
        <v>17</v>
      </c>
      <c r="I113" s="49">
        <v>19</v>
      </c>
      <c r="J113" s="47">
        <f t="shared" si="1"/>
        <v>105</v>
      </c>
    </row>
    <row r="114" spans="1:10" ht="17.25" customHeight="1" x14ac:dyDescent="0.25">
      <c r="A114" s="39"/>
      <c r="B114" s="39"/>
      <c r="C114" s="35" t="s">
        <v>569</v>
      </c>
      <c r="D114" s="42">
        <f>AVERAGE(D2:D113)</f>
        <v>9.8482142857142865</v>
      </c>
      <c r="E114" s="42">
        <f t="shared" ref="E114:I114" si="2">AVERAGE(E2:E113)</f>
        <v>10.392857142857142</v>
      </c>
      <c r="F114" s="42">
        <f t="shared" si="2"/>
        <v>13.285714285714286</v>
      </c>
      <c r="G114" s="42">
        <f t="shared" si="2"/>
        <v>13.348214285714286</v>
      </c>
      <c r="H114" s="42">
        <f t="shared" si="2"/>
        <v>11.607142857142858</v>
      </c>
      <c r="I114" s="42">
        <f t="shared" si="2"/>
        <v>14.642857142857142</v>
      </c>
      <c r="J114" s="41">
        <f>SUM(J2:J113)</f>
        <v>8190</v>
      </c>
    </row>
    <row r="115" spans="1:10" ht="17.25" customHeight="1" x14ac:dyDescent="0.25">
      <c r="C115" s="36" t="s">
        <v>703</v>
      </c>
      <c r="D115" s="50">
        <f>MIN(D2:D113)</f>
        <v>5</v>
      </c>
      <c r="E115" s="50">
        <f t="shared" ref="E115:I115" si="3">MIN(E2:E113)</f>
        <v>5</v>
      </c>
      <c r="F115" s="50">
        <f t="shared" si="3"/>
        <v>5</v>
      </c>
      <c r="G115" s="50">
        <f t="shared" si="3"/>
        <v>5</v>
      </c>
      <c r="H115" s="50">
        <f t="shared" si="3"/>
        <v>5</v>
      </c>
      <c r="I115" s="50">
        <f t="shared" si="3"/>
        <v>5</v>
      </c>
    </row>
    <row r="116" spans="1:10" ht="17.25" customHeight="1" x14ac:dyDescent="0.25">
      <c r="C116" s="37" t="s">
        <v>704</v>
      </c>
      <c r="D116" s="50">
        <f>MAX(D2:D113)</f>
        <v>22</v>
      </c>
      <c r="E116" s="50">
        <f t="shared" ref="E116:I116" si="4">MAX(E2:E113)</f>
        <v>23</v>
      </c>
      <c r="F116" s="50">
        <f t="shared" si="4"/>
        <v>31</v>
      </c>
      <c r="G116" s="50">
        <f t="shared" si="4"/>
        <v>29</v>
      </c>
      <c r="H116" s="50">
        <f t="shared" si="4"/>
        <v>32</v>
      </c>
      <c r="I116" s="50">
        <f t="shared" si="4"/>
        <v>33</v>
      </c>
    </row>
    <row r="117" spans="1:10" ht="17.25" customHeight="1" x14ac:dyDescent="0.25">
      <c r="C117" s="38" t="s">
        <v>705</v>
      </c>
      <c r="D117" s="42">
        <f>STDEV(D2:D113)</f>
        <v>4.2663777100110076</v>
      </c>
      <c r="E117" s="42">
        <f t="shared" ref="E117:I117" si="5">STDEV(E2:E113)</f>
        <v>4.2370250120079485</v>
      </c>
      <c r="F117" s="42">
        <f t="shared" si="5"/>
        <v>5.5368195434175602</v>
      </c>
      <c r="G117" s="42">
        <f t="shared" si="5"/>
        <v>5.1055698633300102</v>
      </c>
      <c r="H117" s="42">
        <f t="shared" si="5"/>
        <v>6.204266394419367</v>
      </c>
      <c r="I117" s="42">
        <f t="shared" si="5"/>
        <v>7.0861584948152423</v>
      </c>
    </row>
    <row r="118" spans="1:10" ht="17.25" customHeight="1" x14ac:dyDescent="0.25">
      <c r="C118" s="40" t="s">
        <v>706</v>
      </c>
      <c r="D118" s="51">
        <f>D117/D114</f>
        <v>0.43321333048162541</v>
      </c>
      <c r="E118" s="51">
        <f t="shared" ref="E118:I118" si="6">E117/E114</f>
        <v>0.40768625545093662</v>
      </c>
      <c r="F118" s="51">
        <f t="shared" si="6"/>
        <v>0.41674985810669807</v>
      </c>
      <c r="G118" s="51">
        <f t="shared" si="6"/>
        <v>0.38249085263743215</v>
      </c>
      <c r="H118" s="51">
        <f t="shared" si="6"/>
        <v>0.53452141244228391</v>
      </c>
      <c r="I118" s="51">
        <f t="shared" si="6"/>
        <v>0.48393277525567507</v>
      </c>
    </row>
    <row r="122" spans="1:10" x14ac:dyDescent="0.25">
      <c r="A122"/>
    </row>
    <row r="123" spans="1:10" customFormat="1" ht="15" x14ac:dyDescent="0.25"/>
    <row r="124" spans="1:10" customFormat="1" ht="15" x14ac:dyDescent="0.25"/>
    <row r="125" spans="1:10" customFormat="1" ht="15" x14ac:dyDescent="0.25"/>
    <row r="126" spans="1:10" customFormat="1" ht="15" x14ac:dyDescent="0.25"/>
    <row r="127" spans="1:10" customFormat="1" ht="15" x14ac:dyDescent="0.25"/>
    <row r="128" spans="1:10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</sheetData>
  <autoFilter ref="A1:J118" xr:uid="{00000000-0001-0000-7200-000000000000}"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F24"/>
  <sheetViews>
    <sheetView workbookViewId="0">
      <selection activeCell="F6" sqref="F6"/>
    </sheetView>
  </sheetViews>
  <sheetFormatPr defaultRowHeight="15" x14ac:dyDescent="0.25"/>
  <cols>
    <col min="1" max="1" width="12" bestFit="1" customWidth="1"/>
    <col min="3" max="3" width="16.85546875" bestFit="1" customWidth="1"/>
    <col min="4" max="4" width="17.7109375" bestFit="1" customWidth="1"/>
  </cols>
  <sheetData>
    <row r="1" spans="1:6" x14ac:dyDescent="0.25">
      <c r="A1" s="14" t="s">
        <v>45</v>
      </c>
      <c r="B1" s="17">
        <v>9.84821428571429</v>
      </c>
    </row>
    <row r="2" spans="1:6" x14ac:dyDescent="0.25">
      <c r="A2" s="14" t="s">
        <v>47</v>
      </c>
      <c r="B2" s="17">
        <v>10.392857142857142</v>
      </c>
    </row>
    <row r="3" spans="1:6" x14ac:dyDescent="0.25">
      <c r="A3" s="14" t="s">
        <v>49</v>
      </c>
      <c r="B3" s="17">
        <v>13.285714285714286</v>
      </c>
      <c r="F3" s="6" t="s">
        <v>50</v>
      </c>
    </row>
    <row r="4" spans="1:6" x14ac:dyDescent="0.25">
      <c r="A4" s="14" t="s">
        <v>51</v>
      </c>
      <c r="B4" s="17">
        <v>13.348214285714286</v>
      </c>
      <c r="F4" s="6" t="s">
        <v>52</v>
      </c>
    </row>
    <row r="5" spans="1:6" x14ac:dyDescent="0.25">
      <c r="A5" s="14" t="s">
        <v>53</v>
      </c>
      <c r="B5" s="17">
        <v>11.607142857142858</v>
      </c>
    </row>
    <row r="6" spans="1:6" x14ac:dyDescent="0.25">
      <c r="A6" s="14" t="s">
        <v>56</v>
      </c>
      <c r="B6" s="18">
        <v>14.642857142857142</v>
      </c>
      <c r="C6" t="s">
        <v>570</v>
      </c>
      <c r="F6" s="6" t="s">
        <v>57</v>
      </c>
    </row>
    <row r="8" spans="1:6" x14ac:dyDescent="0.25">
      <c r="A8" s="2">
        <v>6</v>
      </c>
      <c r="B8" t="s">
        <v>19</v>
      </c>
    </row>
    <row r="9" spans="1:6" x14ac:dyDescent="0.25">
      <c r="A9" s="2">
        <v>12</v>
      </c>
      <c r="B9" t="s">
        <v>25</v>
      </c>
    </row>
    <row r="10" spans="1:6" x14ac:dyDescent="0.25">
      <c r="A10" s="2">
        <v>18</v>
      </c>
      <c r="B10" t="s">
        <v>32</v>
      </c>
    </row>
    <row r="11" spans="1:6" x14ac:dyDescent="0.25">
      <c r="A11" s="2">
        <v>24</v>
      </c>
      <c r="B11" t="s">
        <v>38</v>
      </c>
    </row>
    <row r="12" spans="1:6" x14ac:dyDescent="0.25">
      <c r="A12" s="2">
        <v>30</v>
      </c>
      <c r="B12" t="s">
        <v>44</v>
      </c>
    </row>
    <row r="14" spans="1:6" x14ac:dyDescent="0.25">
      <c r="A14" s="2">
        <v>3</v>
      </c>
      <c r="B14" t="s">
        <v>17</v>
      </c>
    </row>
    <row r="15" spans="1:6" x14ac:dyDescent="0.25">
      <c r="A15" s="2">
        <v>9</v>
      </c>
      <c r="B15" t="s">
        <v>22</v>
      </c>
    </row>
    <row r="16" spans="1:6" x14ac:dyDescent="0.25">
      <c r="A16" s="2">
        <v>15</v>
      </c>
      <c r="B16" t="s">
        <v>29</v>
      </c>
    </row>
    <row r="17" spans="1:2" x14ac:dyDescent="0.25">
      <c r="A17" s="2">
        <v>21</v>
      </c>
      <c r="B17" t="s">
        <v>35</v>
      </c>
    </row>
    <row r="18" spans="1:2" x14ac:dyDescent="0.25">
      <c r="A18" s="2">
        <v>27</v>
      </c>
      <c r="B18" t="s">
        <v>41</v>
      </c>
    </row>
    <row r="20" spans="1:2" x14ac:dyDescent="0.25">
      <c r="A20" s="2">
        <v>4</v>
      </c>
      <c r="B20" t="s">
        <v>18</v>
      </c>
    </row>
    <row r="21" spans="1:2" x14ac:dyDescent="0.25">
      <c r="A21" s="2">
        <v>10</v>
      </c>
      <c r="B21" t="s">
        <v>23</v>
      </c>
    </row>
    <row r="22" spans="1:2" x14ac:dyDescent="0.25">
      <c r="A22" s="2">
        <v>16</v>
      </c>
      <c r="B22" t="s">
        <v>30</v>
      </c>
    </row>
    <row r="23" spans="1:2" x14ac:dyDescent="0.25">
      <c r="A23" s="2">
        <v>22</v>
      </c>
      <c r="B23" t="s">
        <v>36</v>
      </c>
    </row>
    <row r="24" spans="1:2" x14ac:dyDescent="0.25">
      <c r="A24" s="2">
        <v>28</v>
      </c>
      <c r="B24" t="s">
        <v>42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I113"/>
  <sheetViews>
    <sheetView workbookViewId="0">
      <pane ySplit="1" topLeftCell="A110" activePane="bottomLeft" state="frozen"/>
      <selection pane="bottomLeft" activeCell="E6" sqref="E6"/>
    </sheetView>
  </sheetViews>
  <sheetFormatPr defaultRowHeight="15" x14ac:dyDescent="0.25"/>
  <cols>
    <col min="1" max="1" width="31.5703125" bestFit="1" customWidth="1"/>
    <col min="2" max="2" width="22.5703125" bestFit="1" customWidth="1"/>
    <col min="3" max="3" width="30" bestFit="1" customWidth="1"/>
    <col min="6" max="6" width="12" bestFit="1" customWidth="1"/>
    <col min="7" max="7" width="11.42578125" bestFit="1" customWidth="1"/>
  </cols>
  <sheetData>
    <row r="1" spans="1:9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9" x14ac:dyDescent="0.25">
      <c r="A2" s="15" t="s">
        <v>551</v>
      </c>
      <c r="B2" s="15" t="s">
        <v>552</v>
      </c>
      <c r="C2" s="15" t="s">
        <v>571</v>
      </c>
      <c r="D2" s="7">
        <v>13</v>
      </c>
      <c r="E2" s="7">
        <v>14</v>
      </c>
      <c r="F2" s="7">
        <v>20</v>
      </c>
      <c r="G2" s="7">
        <v>21</v>
      </c>
      <c r="H2" s="7">
        <v>17</v>
      </c>
      <c r="I2" s="7">
        <v>16</v>
      </c>
    </row>
    <row r="3" spans="1:9" x14ac:dyDescent="0.25">
      <c r="A3" s="15" t="s">
        <v>182</v>
      </c>
      <c r="B3" s="15" t="s">
        <v>183</v>
      </c>
      <c r="C3" s="15" t="s">
        <v>571</v>
      </c>
      <c r="D3" s="7">
        <v>12</v>
      </c>
      <c r="E3" s="7">
        <v>12</v>
      </c>
      <c r="F3" s="7">
        <v>10</v>
      </c>
      <c r="G3" s="7">
        <v>17</v>
      </c>
      <c r="H3" s="7">
        <v>19</v>
      </c>
      <c r="I3" s="7">
        <v>11</v>
      </c>
    </row>
    <row r="4" spans="1:9" x14ac:dyDescent="0.25">
      <c r="A4" s="15" t="s">
        <v>229</v>
      </c>
      <c r="B4" s="15" t="s">
        <v>230</v>
      </c>
      <c r="C4" s="15" t="s">
        <v>231</v>
      </c>
      <c r="D4" s="7">
        <v>7</v>
      </c>
      <c r="E4" s="7">
        <v>10</v>
      </c>
      <c r="F4" s="7">
        <v>16</v>
      </c>
      <c r="G4" s="7">
        <v>15</v>
      </c>
      <c r="H4" s="7">
        <v>21</v>
      </c>
      <c r="I4" s="7">
        <v>14</v>
      </c>
    </row>
    <row r="5" spans="1:9" x14ac:dyDescent="0.25">
      <c r="A5" s="15" t="s">
        <v>434</v>
      </c>
      <c r="B5" s="15" t="s">
        <v>183</v>
      </c>
      <c r="C5" s="15" t="s">
        <v>231</v>
      </c>
      <c r="D5" s="7">
        <v>5</v>
      </c>
      <c r="E5" s="7">
        <v>5</v>
      </c>
      <c r="F5" s="7">
        <v>8</v>
      </c>
      <c r="G5" s="7">
        <v>6</v>
      </c>
      <c r="H5" s="7">
        <v>6</v>
      </c>
      <c r="I5" s="7">
        <v>9</v>
      </c>
    </row>
    <row r="6" spans="1:9" x14ac:dyDescent="0.25">
      <c r="A6" s="15" t="s">
        <v>485</v>
      </c>
      <c r="B6" s="15" t="s">
        <v>211</v>
      </c>
      <c r="C6" s="15" t="s">
        <v>231</v>
      </c>
      <c r="D6" s="7">
        <v>8</v>
      </c>
      <c r="E6" s="7">
        <v>7</v>
      </c>
      <c r="F6" s="7">
        <v>12</v>
      </c>
      <c r="G6" s="7">
        <v>12</v>
      </c>
      <c r="H6" s="7">
        <v>7</v>
      </c>
      <c r="I6" s="7">
        <v>9</v>
      </c>
    </row>
    <row r="7" spans="1:9" x14ac:dyDescent="0.25">
      <c r="A7" s="15" t="s">
        <v>366</v>
      </c>
      <c r="B7" s="15" t="s">
        <v>211</v>
      </c>
      <c r="C7" s="15" t="s">
        <v>231</v>
      </c>
      <c r="D7" s="7">
        <v>6</v>
      </c>
      <c r="E7" s="7">
        <v>7</v>
      </c>
      <c r="F7" s="7">
        <v>8</v>
      </c>
      <c r="G7" s="7">
        <v>7</v>
      </c>
      <c r="H7" s="7">
        <v>6</v>
      </c>
      <c r="I7" s="7">
        <v>5</v>
      </c>
    </row>
    <row r="8" spans="1:9" x14ac:dyDescent="0.25">
      <c r="A8" s="15" t="s">
        <v>210</v>
      </c>
      <c r="B8" s="15" t="s">
        <v>211</v>
      </c>
      <c r="C8" s="15" t="s">
        <v>212</v>
      </c>
      <c r="D8" s="7">
        <v>7</v>
      </c>
      <c r="E8" s="7">
        <v>8</v>
      </c>
      <c r="F8" s="7">
        <v>10</v>
      </c>
      <c r="G8" s="7">
        <v>13</v>
      </c>
      <c r="H8" s="7">
        <v>10</v>
      </c>
      <c r="I8" s="7">
        <v>16</v>
      </c>
    </row>
    <row r="9" spans="1:9" x14ac:dyDescent="0.25">
      <c r="A9" s="15" t="s">
        <v>334</v>
      </c>
      <c r="B9" s="15" t="s">
        <v>211</v>
      </c>
      <c r="C9" s="15" t="s">
        <v>212</v>
      </c>
      <c r="D9" s="7">
        <v>8</v>
      </c>
      <c r="E9" s="7">
        <v>10</v>
      </c>
      <c r="F9" s="7">
        <v>10</v>
      </c>
      <c r="G9" s="7">
        <v>12</v>
      </c>
      <c r="H9" s="7">
        <v>14</v>
      </c>
      <c r="I9" s="7">
        <v>11</v>
      </c>
    </row>
    <row r="10" spans="1:9" x14ac:dyDescent="0.25">
      <c r="A10" s="15" t="s">
        <v>440</v>
      </c>
      <c r="B10" s="15" t="s">
        <v>211</v>
      </c>
      <c r="C10" s="15" t="s">
        <v>212</v>
      </c>
      <c r="D10" s="7">
        <v>6</v>
      </c>
      <c r="E10" s="7">
        <v>7</v>
      </c>
      <c r="F10" s="7">
        <v>9</v>
      </c>
      <c r="G10" s="7">
        <v>8</v>
      </c>
      <c r="H10" s="7">
        <v>7</v>
      </c>
      <c r="I10" s="7">
        <v>9</v>
      </c>
    </row>
    <row r="11" spans="1:9" x14ac:dyDescent="0.25">
      <c r="A11" s="15" t="s">
        <v>477</v>
      </c>
      <c r="B11" s="15" t="s">
        <v>478</v>
      </c>
      <c r="C11" s="15" t="s">
        <v>212</v>
      </c>
      <c r="D11" s="7">
        <v>10</v>
      </c>
      <c r="E11" s="7">
        <v>7</v>
      </c>
      <c r="F11" s="7">
        <v>11</v>
      </c>
      <c r="G11" s="7">
        <v>13</v>
      </c>
      <c r="H11" s="7">
        <v>14</v>
      </c>
      <c r="I11" s="7">
        <v>12</v>
      </c>
    </row>
    <row r="12" spans="1:9" x14ac:dyDescent="0.25">
      <c r="A12" s="15" t="s">
        <v>488</v>
      </c>
      <c r="B12" s="15" t="s">
        <v>489</v>
      </c>
      <c r="C12" s="15" t="s">
        <v>212</v>
      </c>
      <c r="D12" s="7">
        <v>5</v>
      </c>
      <c r="E12" s="7">
        <v>6</v>
      </c>
      <c r="F12" s="7">
        <v>14</v>
      </c>
      <c r="G12" s="7">
        <v>15</v>
      </c>
      <c r="H12" s="7">
        <v>6</v>
      </c>
      <c r="I12" s="7">
        <v>13</v>
      </c>
    </row>
    <row r="13" spans="1:9" x14ac:dyDescent="0.25">
      <c r="A13" s="15" t="s">
        <v>508</v>
      </c>
      <c r="B13" s="15" t="s">
        <v>211</v>
      </c>
      <c r="C13" s="15" t="s">
        <v>212</v>
      </c>
      <c r="D13" s="7">
        <v>5</v>
      </c>
      <c r="E13" s="7">
        <v>8</v>
      </c>
      <c r="F13" s="7">
        <v>5</v>
      </c>
      <c r="G13" s="7">
        <v>8</v>
      </c>
      <c r="H13" s="7">
        <v>7</v>
      </c>
      <c r="I13" s="7">
        <v>6</v>
      </c>
    </row>
    <row r="14" spans="1:9" x14ac:dyDescent="0.25">
      <c r="A14" s="15" t="s">
        <v>548</v>
      </c>
      <c r="B14" s="15" t="s">
        <v>211</v>
      </c>
      <c r="C14" s="15" t="s">
        <v>212</v>
      </c>
      <c r="D14" s="7">
        <v>15</v>
      </c>
      <c r="E14" s="7">
        <v>14</v>
      </c>
      <c r="F14" s="7">
        <v>21</v>
      </c>
      <c r="G14" s="7">
        <v>18</v>
      </c>
      <c r="H14" s="7">
        <v>15</v>
      </c>
      <c r="I14" s="7">
        <v>16</v>
      </c>
    </row>
    <row r="15" spans="1:9" x14ac:dyDescent="0.25">
      <c r="A15" s="15" t="s">
        <v>568</v>
      </c>
      <c r="B15" s="15" t="s">
        <v>444</v>
      </c>
      <c r="C15" s="15" t="s">
        <v>212</v>
      </c>
      <c r="D15" s="7">
        <v>18</v>
      </c>
      <c r="E15" s="7">
        <v>15</v>
      </c>
      <c r="F15" s="7">
        <v>18</v>
      </c>
      <c r="G15" s="7">
        <v>18</v>
      </c>
      <c r="H15" s="7">
        <v>17</v>
      </c>
      <c r="I15" s="7">
        <v>19</v>
      </c>
    </row>
    <row r="16" spans="1:9" x14ac:dyDescent="0.25">
      <c r="A16" s="15" t="s">
        <v>351</v>
      </c>
      <c r="B16" s="15" t="s">
        <v>211</v>
      </c>
      <c r="C16" s="15" t="s">
        <v>212</v>
      </c>
      <c r="D16" s="7">
        <v>19</v>
      </c>
      <c r="E16" s="7">
        <v>17</v>
      </c>
      <c r="F16" s="7">
        <v>18</v>
      </c>
      <c r="G16" s="7">
        <v>17</v>
      </c>
      <c r="H16" s="7">
        <v>20</v>
      </c>
      <c r="I16" s="7">
        <v>16</v>
      </c>
    </row>
    <row r="17" spans="1:9" x14ac:dyDescent="0.25">
      <c r="A17" s="15" t="s">
        <v>377</v>
      </c>
      <c r="B17" s="15" t="s">
        <v>211</v>
      </c>
      <c r="C17" s="15" t="s">
        <v>212</v>
      </c>
      <c r="D17" s="7">
        <v>7</v>
      </c>
      <c r="E17" s="7">
        <v>9</v>
      </c>
      <c r="F17" s="7">
        <v>12</v>
      </c>
      <c r="G17" s="7">
        <v>13</v>
      </c>
      <c r="H17" s="7">
        <v>12</v>
      </c>
      <c r="I17" s="7">
        <v>6</v>
      </c>
    </row>
    <row r="18" spans="1:9" x14ac:dyDescent="0.25">
      <c r="A18" s="15" t="s">
        <v>168</v>
      </c>
      <c r="B18" s="15" t="s">
        <v>169</v>
      </c>
      <c r="C18" s="15" t="s">
        <v>212</v>
      </c>
      <c r="D18" s="7">
        <v>7</v>
      </c>
      <c r="E18" s="7">
        <v>9</v>
      </c>
      <c r="F18" s="7">
        <v>12</v>
      </c>
      <c r="G18" s="7">
        <v>13</v>
      </c>
      <c r="H18" s="7">
        <v>32</v>
      </c>
      <c r="I18" s="7">
        <v>10</v>
      </c>
    </row>
    <row r="19" spans="1:9" x14ac:dyDescent="0.25">
      <c r="A19" s="15" t="s">
        <v>388</v>
      </c>
      <c r="B19" s="15" t="s">
        <v>211</v>
      </c>
      <c r="C19" s="15" t="s">
        <v>212</v>
      </c>
      <c r="D19" s="7">
        <v>5</v>
      </c>
      <c r="E19" s="7">
        <v>7</v>
      </c>
      <c r="F19" s="7">
        <v>12</v>
      </c>
      <c r="G19" s="7">
        <v>11</v>
      </c>
      <c r="H19" s="7">
        <v>9</v>
      </c>
      <c r="I19" s="7">
        <v>20</v>
      </c>
    </row>
    <row r="20" spans="1:9" x14ac:dyDescent="0.25">
      <c r="A20" s="15" t="s">
        <v>524</v>
      </c>
      <c r="B20" s="15" t="s">
        <v>525</v>
      </c>
      <c r="C20" s="15" t="s">
        <v>212</v>
      </c>
      <c r="D20" s="7">
        <v>8</v>
      </c>
      <c r="E20" s="7">
        <v>9</v>
      </c>
      <c r="F20" s="7">
        <v>14</v>
      </c>
      <c r="G20" s="7">
        <v>13</v>
      </c>
      <c r="H20" s="7">
        <v>7</v>
      </c>
      <c r="I20" s="7">
        <v>12</v>
      </c>
    </row>
    <row r="21" spans="1:9" x14ac:dyDescent="0.25">
      <c r="A21" s="15" t="s">
        <v>529</v>
      </c>
      <c r="B21" s="15" t="s">
        <v>530</v>
      </c>
      <c r="C21" s="15" t="s">
        <v>212</v>
      </c>
      <c r="D21" s="7">
        <v>13</v>
      </c>
      <c r="E21" s="7">
        <v>10</v>
      </c>
      <c r="F21" s="7">
        <v>14</v>
      </c>
      <c r="G21" s="7">
        <v>16</v>
      </c>
      <c r="H21" s="7">
        <v>13</v>
      </c>
      <c r="I21" s="7">
        <v>9</v>
      </c>
    </row>
    <row r="22" spans="1:9" x14ac:dyDescent="0.25">
      <c r="A22" s="15" t="s">
        <v>159</v>
      </c>
      <c r="B22" s="15" t="s">
        <v>160</v>
      </c>
      <c r="C22" s="15" t="s">
        <v>161</v>
      </c>
      <c r="D22" s="15">
        <v>14</v>
      </c>
      <c r="E22" s="15">
        <v>15</v>
      </c>
      <c r="F22" s="15">
        <v>13</v>
      </c>
      <c r="G22" s="15">
        <v>14</v>
      </c>
      <c r="H22" s="15">
        <v>12</v>
      </c>
      <c r="I22" s="15">
        <v>20</v>
      </c>
    </row>
    <row r="23" spans="1:9" x14ac:dyDescent="0.25">
      <c r="A23" s="15" t="s">
        <v>275</v>
      </c>
      <c r="B23" s="15" t="s">
        <v>276</v>
      </c>
      <c r="C23" s="15" t="s">
        <v>161</v>
      </c>
      <c r="D23" s="7">
        <v>11</v>
      </c>
      <c r="E23" s="7">
        <v>12</v>
      </c>
      <c r="F23" s="7">
        <v>19</v>
      </c>
      <c r="G23" s="7">
        <v>25</v>
      </c>
      <c r="H23" s="7">
        <v>9</v>
      </c>
      <c r="I23" s="7">
        <v>29</v>
      </c>
    </row>
    <row r="24" spans="1:9" x14ac:dyDescent="0.25">
      <c r="A24" s="15" t="s">
        <v>323</v>
      </c>
      <c r="B24" s="15" t="s">
        <v>324</v>
      </c>
      <c r="C24" s="15" t="s">
        <v>161</v>
      </c>
      <c r="D24" s="7">
        <v>12</v>
      </c>
      <c r="E24" s="7">
        <v>6</v>
      </c>
      <c r="F24" s="7">
        <v>7</v>
      </c>
      <c r="G24" s="7">
        <v>10</v>
      </c>
      <c r="H24" s="7">
        <v>5</v>
      </c>
      <c r="I24" s="7">
        <v>10</v>
      </c>
    </row>
    <row r="25" spans="1:9" x14ac:dyDescent="0.25">
      <c r="A25" s="15" t="s">
        <v>125</v>
      </c>
      <c r="B25" s="15" t="s">
        <v>126</v>
      </c>
      <c r="C25" s="15" t="s">
        <v>161</v>
      </c>
      <c r="D25" s="15">
        <v>18</v>
      </c>
      <c r="E25" s="15">
        <v>16</v>
      </c>
      <c r="F25" s="15">
        <v>20</v>
      </c>
      <c r="G25" s="15">
        <v>19</v>
      </c>
      <c r="H25" s="15">
        <v>21</v>
      </c>
      <c r="I25" s="15">
        <v>17</v>
      </c>
    </row>
    <row r="26" spans="1:9" x14ac:dyDescent="0.25">
      <c r="A26" s="15" t="s">
        <v>155</v>
      </c>
      <c r="B26" s="15" t="s">
        <v>156</v>
      </c>
      <c r="C26" s="15" t="s">
        <v>161</v>
      </c>
      <c r="D26" s="15">
        <v>11</v>
      </c>
      <c r="E26" s="15">
        <v>23</v>
      </c>
      <c r="F26" s="15">
        <v>31</v>
      </c>
      <c r="G26" s="15">
        <v>18</v>
      </c>
      <c r="H26" s="15">
        <v>5</v>
      </c>
      <c r="I26" s="15">
        <v>31</v>
      </c>
    </row>
    <row r="27" spans="1:9" x14ac:dyDescent="0.25">
      <c r="A27" s="15" t="s">
        <v>383</v>
      </c>
      <c r="B27" s="15" t="s">
        <v>384</v>
      </c>
      <c r="C27" s="15" t="s">
        <v>161</v>
      </c>
      <c r="D27" s="7">
        <v>5</v>
      </c>
      <c r="E27" s="7">
        <v>6</v>
      </c>
      <c r="F27" s="7">
        <v>12</v>
      </c>
      <c r="G27" s="7">
        <v>9</v>
      </c>
      <c r="H27" s="7">
        <v>6</v>
      </c>
      <c r="I27" s="7">
        <v>5</v>
      </c>
    </row>
    <row r="28" spans="1:9" x14ac:dyDescent="0.25">
      <c r="A28" s="15" t="s">
        <v>400</v>
      </c>
      <c r="B28" s="15" t="s">
        <v>126</v>
      </c>
      <c r="C28" s="15" t="s">
        <v>161</v>
      </c>
      <c r="D28" s="7">
        <v>10</v>
      </c>
      <c r="E28" s="7">
        <v>19</v>
      </c>
      <c r="F28" s="7">
        <v>16</v>
      </c>
      <c r="G28" s="7">
        <v>11</v>
      </c>
      <c r="H28" s="7">
        <v>20</v>
      </c>
      <c r="I28" s="7">
        <v>17</v>
      </c>
    </row>
    <row r="29" spans="1:9" x14ac:dyDescent="0.25">
      <c r="A29" s="15" t="s">
        <v>242</v>
      </c>
      <c r="B29" s="15" t="s">
        <v>243</v>
      </c>
      <c r="C29" s="15" t="s">
        <v>161</v>
      </c>
      <c r="D29" s="7">
        <v>10</v>
      </c>
      <c r="E29" s="7">
        <v>13</v>
      </c>
      <c r="F29" s="7">
        <v>15</v>
      </c>
      <c r="G29" s="7">
        <v>17</v>
      </c>
      <c r="H29" s="7">
        <v>10</v>
      </c>
      <c r="I29" s="7">
        <v>27</v>
      </c>
    </row>
    <row r="30" spans="1:9" x14ac:dyDescent="0.25">
      <c r="A30" s="15" t="s">
        <v>359</v>
      </c>
      <c r="B30" s="15" t="s">
        <v>126</v>
      </c>
      <c r="C30" s="15" t="s">
        <v>161</v>
      </c>
      <c r="D30" s="7">
        <v>5</v>
      </c>
      <c r="E30" s="7">
        <v>5</v>
      </c>
      <c r="F30" s="7">
        <v>5</v>
      </c>
      <c r="G30" s="7">
        <v>8</v>
      </c>
      <c r="H30" s="7">
        <v>5</v>
      </c>
      <c r="I30" s="7">
        <v>11</v>
      </c>
    </row>
    <row r="31" spans="1:9" x14ac:dyDescent="0.25">
      <c r="A31" s="15" t="s">
        <v>319</v>
      </c>
      <c r="B31" s="15" t="s">
        <v>178</v>
      </c>
      <c r="C31" s="15" t="s">
        <v>414</v>
      </c>
      <c r="D31" s="7">
        <v>16</v>
      </c>
      <c r="E31" s="7">
        <v>12</v>
      </c>
      <c r="F31" s="7">
        <v>16</v>
      </c>
      <c r="G31" s="7">
        <v>18</v>
      </c>
      <c r="H31" s="7">
        <v>12</v>
      </c>
      <c r="I31" s="7">
        <v>27</v>
      </c>
    </row>
    <row r="32" spans="1:9" x14ac:dyDescent="0.25">
      <c r="A32" s="15" t="s">
        <v>412</v>
      </c>
      <c r="B32" s="15" t="s">
        <v>413</v>
      </c>
      <c r="C32" s="15" t="s">
        <v>414</v>
      </c>
      <c r="D32" s="7">
        <v>7</v>
      </c>
      <c r="E32" s="7">
        <v>8</v>
      </c>
      <c r="F32" s="7">
        <v>11</v>
      </c>
      <c r="G32" s="7">
        <v>13</v>
      </c>
      <c r="H32" s="7">
        <v>8</v>
      </c>
      <c r="I32" s="7">
        <v>24</v>
      </c>
    </row>
    <row r="33" spans="1:9" x14ac:dyDescent="0.25">
      <c r="A33" s="15" t="s">
        <v>452</v>
      </c>
      <c r="B33" s="15" t="s">
        <v>453</v>
      </c>
      <c r="C33" s="15" t="s">
        <v>414</v>
      </c>
      <c r="D33" s="7">
        <v>5</v>
      </c>
      <c r="E33" s="7">
        <v>5</v>
      </c>
      <c r="F33" s="7">
        <v>5</v>
      </c>
      <c r="G33" s="7">
        <v>5</v>
      </c>
      <c r="H33" s="7">
        <v>5</v>
      </c>
      <c r="I33" s="7">
        <v>5</v>
      </c>
    </row>
    <row r="34" spans="1:9" x14ac:dyDescent="0.25">
      <c r="A34" s="15" t="s">
        <v>177</v>
      </c>
      <c r="B34" s="15" t="s">
        <v>178</v>
      </c>
      <c r="C34" s="15" t="s">
        <v>414</v>
      </c>
      <c r="D34" s="7">
        <v>5</v>
      </c>
      <c r="E34" s="7">
        <v>8</v>
      </c>
      <c r="F34" s="7">
        <v>6</v>
      </c>
      <c r="G34" s="7">
        <v>8</v>
      </c>
      <c r="H34" s="7">
        <v>15</v>
      </c>
      <c r="I34" s="7">
        <v>7</v>
      </c>
    </row>
    <row r="35" spans="1:9" x14ac:dyDescent="0.25">
      <c r="A35" s="15" t="s">
        <v>267</v>
      </c>
      <c r="B35" s="15" t="s">
        <v>268</v>
      </c>
      <c r="C35" s="15" t="s">
        <v>414</v>
      </c>
      <c r="D35" s="7">
        <v>17</v>
      </c>
      <c r="E35" s="7">
        <v>18</v>
      </c>
      <c r="F35" s="7">
        <v>18</v>
      </c>
      <c r="G35" s="7">
        <v>17</v>
      </c>
      <c r="H35" s="7">
        <v>23</v>
      </c>
      <c r="I35" s="7">
        <v>22</v>
      </c>
    </row>
    <row r="36" spans="1:9" x14ac:dyDescent="0.25">
      <c r="A36" s="15" t="s">
        <v>282</v>
      </c>
      <c r="B36" s="15" t="s">
        <v>283</v>
      </c>
      <c r="C36" s="15" t="s">
        <v>414</v>
      </c>
      <c r="D36" s="7">
        <v>6</v>
      </c>
      <c r="E36" s="7">
        <v>14</v>
      </c>
      <c r="F36" s="7">
        <v>17</v>
      </c>
      <c r="G36" s="7">
        <v>15</v>
      </c>
      <c r="H36" s="7">
        <v>13</v>
      </c>
      <c r="I36" s="7">
        <v>15</v>
      </c>
    </row>
    <row r="37" spans="1:9" x14ac:dyDescent="0.25">
      <c r="A37" s="15" t="s">
        <v>515</v>
      </c>
      <c r="B37" s="15" t="s">
        <v>516</v>
      </c>
      <c r="C37" s="15" t="s">
        <v>414</v>
      </c>
      <c r="D37" s="7">
        <v>12</v>
      </c>
      <c r="E37" s="7">
        <v>10</v>
      </c>
      <c r="F37" s="7">
        <v>12</v>
      </c>
      <c r="G37" s="7">
        <v>14</v>
      </c>
      <c r="H37" s="7">
        <v>16</v>
      </c>
      <c r="I37" s="7">
        <v>15</v>
      </c>
    </row>
    <row r="38" spans="1:9" x14ac:dyDescent="0.25">
      <c r="A38" s="15" t="s">
        <v>519</v>
      </c>
      <c r="B38" s="15" t="s">
        <v>520</v>
      </c>
      <c r="C38" s="15" t="s">
        <v>414</v>
      </c>
      <c r="D38" s="7">
        <v>17</v>
      </c>
      <c r="E38" s="7">
        <v>8</v>
      </c>
      <c r="F38" s="7">
        <v>14</v>
      </c>
      <c r="G38" s="7">
        <v>19</v>
      </c>
      <c r="H38" s="7">
        <v>12</v>
      </c>
      <c r="I38" s="7">
        <v>33</v>
      </c>
    </row>
    <row r="39" spans="1:9" x14ac:dyDescent="0.25">
      <c r="A39" s="15" t="s">
        <v>369</v>
      </c>
      <c r="B39" s="15" t="s">
        <v>370</v>
      </c>
      <c r="C39" s="15" t="s">
        <v>414</v>
      </c>
      <c r="D39" s="7">
        <v>8</v>
      </c>
      <c r="E39" s="7">
        <v>9</v>
      </c>
      <c r="F39" s="7">
        <v>9</v>
      </c>
      <c r="G39" s="7">
        <v>7</v>
      </c>
      <c r="H39" s="7">
        <v>6</v>
      </c>
      <c r="I39" s="7">
        <v>12</v>
      </c>
    </row>
    <row r="40" spans="1:9" x14ac:dyDescent="0.25">
      <c r="A40" s="15" t="s">
        <v>408</v>
      </c>
      <c r="B40" s="15" t="s">
        <v>409</v>
      </c>
      <c r="C40" s="15" t="s">
        <v>414</v>
      </c>
      <c r="D40" s="7">
        <v>8</v>
      </c>
      <c r="E40" s="7">
        <v>7</v>
      </c>
      <c r="F40" s="7">
        <v>7</v>
      </c>
      <c r="G40" s="7">
        <v>5</v>
      </c>
      <c r="H40" s="7">
        <v>7</v>
      </c>
      <c r="I40" s="7">
        <v>6</v>
      </c>
    </row>
    <row r="41" spans="1:9" x14ac:dyDescent="0.25">
      <c r="A41" s="15" t="s">
        <v>341</v>
      </c>
      <c r="B41" s="15" t="s">
        <v>342</v>
      </c>
      <c r="C41" s="15" t="s">
        <v>343</v>
      </c>
      <c r="D41" s="7">
        <v>10</v>
      </c>
      <c r="E41" s="7">
        <v>7</v>
      </c>
      <c r="F41" s="7">
        <v>11</v>
      </c>
      <c r="G41" s="7">
        <v>12</v>
      </c>
      <c r="H41" s="7">
        <v>9</v>
      </c>
      <c r="I41" s="7">
        <v>9</v>
      </c>
    </row>
    <row r="42" spans="1:9" x14ac:dyDescent="0.25">
      <c r="A42" s="15" t="s">
        <v>192</v>
      </c>
      <c r="B42" s="15" t="s">
        <v>193</v>
      </c>
      <c r="C42" s="15" t="s">
        <v>194</v>
      </c>
      <c r="D42" s="7">
        <v>9</v>
      </c>
      <c r="E42" s="7">
        <v>11</v>
      </c>
      <c r="F42" s="7">
        <v>11</v>
      </c>
      <c r="G42" s="7">
        <v>12</v>
      </c>
      <c r="H42" s="7">
        <v>5</v>
      </c>
      <c r="I42" s="7">
        <v>19</v>
      </c>
    </row>
    <row r="43" spans="1:9" x14ac:dyDescent="0.25">
      <c r="A43" s="15" t="s">
        <v>327</v>
      </c>
      <c r="B43" s="15" t="s">
        <v>328</v>
      </c>
      <c r="C43" s="15" t="s">
        <v>194</v>
      </c>
      <c r="D43" s="7">
        <v>9</v>
      </c>
      <c r="E43" s="7">
        <v>6</v>
      </c>
      <c r="F43" s="7">
        <v>6</v>
      </c>
      <c r="G43" s="7">
        <v>6</v>
      </c>
      <c r="H43" s="7">
        <v>6</v>
      </c>
      <c r="I43" s="7">
        <v>7</v>
      </c>
    </row>
    <row r="44" spans="1:9" x14ac:dyDescent="0.25">
      <c r="A44" s="15" t="s">
        <v>417</v>
      </c>
      <c r="B44" s="15" t="s">
        <v>418</v>
      </c>
      <c r="C44" s="15" t="s">
        <v>194</v>
      </c>
      <c r="D44" s="7">
        <v>5</v>
      </c>
      <c r="E44" s="7">
        <v>13</v>
      </c>
      <c r="F44" s="7">
        <v>20</v>
      </c>
      <c r="G44" s="7">
        <v>20</v>
      </c>
      <c r="H44" s="7">
        <v>9</v>
      </c>
      <c r="I44" s="7">
        <v>20</v>
      </c>
    </row>
    <row r="45" spans="1:9" x14ac:dyDescent="0.25">
      <c r="A45" s="15" t="s">
        <v>150</v>
      </c>
      <c r="B45" s="15" t="s">
        <v>151</v>
      </c>
      <c r="C45" s="15" t="s">
        <v>152</v>
      </c>
      <c r="D45" s="15">
        <v>12</v>
      </c>
      <c r="E45" s="15">
        <v>14</v>
      </c>
      <c r="F45" s="15">
        <v>12</v>
      </c>
      <c r="G45" s="15">
        <v>14</v>
      </c>
      <c r="H45" s="15">
        <v>12</v>
      </c>
      <c r="I45" s="15">
        <v>18</v>
      </c>
    </row>
    <row r="46" spans="1:9" x14ac:dyDescent="0.25">
      <c r="A46" s="15" t="s">
        <v>429</v>
      </c>
      <c r="B46" s="15" t="s">
        <v>430</v>
      </c>
      <c r="C46" s="15" t="s">
        <v>431</v>
      </c>
      <c r="D46" s="7">
        <v>11</v>
      </c>
      <c r="E46" s="7">
        <v>17</v>
      </c>
      <c r="F46" s="7">
        <v>23</v>
      </c>
      <c r="G46" s="7">
        <v>29</v>
      </c>
      <c r="H46" s="7">
        <v>29</v>
      </c>
      <c r="I46" s="7">
        <v>29</v>
      </c>
    </row>
    <row r="47" spans="1:9" x14ac:dyDescent="0.25">
      <c r="A47" s="15" t="s">
        <v>337</v>
      </c>
      <c r="B47" s="15" t="s">
        <v>338</v>
      </c>
      <c r="C47" s="15" t="s">
        <v>431</v>
      </c>
      <c r="D47" s="7">
        <v>5</v>
      </c>
      <c r="E47" s="7">
        <v>5</v>
      </c>
      <c r="F47" s="7">
        <v>6</v>
      </c>
      <c r="G47" s="7">
        <v>6</v>
      </c>
      <c r="H47" s="7">
        <v>5</v>
      </c>
      <c r="I47" s="7">
        <v>5</v>
      </c>
    </row>
    <row r="48" spans="1:9" x14ac:dyDescent="0.25">
      <c r="A48" s="15" t="s">
        <v>403</v>
      </c>
      <c r="B48" s="15" t="s">
        <v>404</v>
      </c>
      <c r="C48" s="15" t="s">
        <v>405</v>
      </c>
      <c r="D48" s="7">
        <v>16</v>
      </c>
      <c r="E48" s="7">
        <v>16</v>
      </c>
      <c r="F48" s="7">
        <v>17</v>
      </c>
      <c r="G48" s="7">
        <v>17</v>
      </c>
      <c r="H48" s="7">
        <v>12</v>
      </c>
      <c r="I48" s="7">
        <v>24</v>
      </c>
    </row>
    <row r="49" spans="1:9" x14ac:dyDescent="0.25">
      <c r="A49" s="15" t="s">
        <v>443</v>
      </c>
      <c r="B49" s="15" t="s">
        <v>444</v>
      </c>
      <c r="C49" s="15" t="s">
        <v>405</v>
      </c>
      <c r="D49" s="7">
        <v>5</v>
      </c>
      <c r="E49" s="7">
        <v>6</v>
      </c>
      <c r="F49" s="7">
        <v>11</v>
      </c>
      <c r="G49" s="7">
        <v>8</v>
      </c>
      <c r="H49" s="7">
        <v>5</v>
      </c>
      <c r="I49" s="7">
        <v>21</v>
      </c>
    </row>
    <row r="50" spans="1:9" x14ac:dyDescent="0.25">
      <c r="A50" s="15" t="s">
        <v>462</v>
      </c>
      <c r="B50" s="15" t="s">
        <v>211</v>
      </c>
      <c r="C50" s="15" t="s">
        <v>405</v>
      </c>
      <c r="D50" s="7">
        <v>12</v>
      </c>
      <c r="E50" s="7">
        <v>8</v>
      </c>
      <c r="F50" s="7">
        <v>8</v>
      </c>
      <c r="G50" s="7">
        <v>12</v>
      </c>
      <c r="H50" s="7">
        <v>9</v>
      </c>
      <c r="I50" s="7">
        <v>7</v>
      </c>
    </row>
    <row r="51" spans="1:9" x14ac:dyDescent="0.25">
      <c r="A51" s="15" t="s">
        <v>473</v>
      </c>
      <c r="B51" s="15" t="s">
        <v>474</v>
      </c>
      <c r="C51" s="15" t="s">
        <v>405</v>
      </c>
      <c r="D51" s="7">
        <v>7</v>
      </c>
      <c r="E51" s="7">
        <v>8</v>
      </c>
      <c r="F51" s="7">
        <v>8</v>
      </c>
      <c r="G51" s="7">
        <v>11</v>
      </c>
      <c r="H51" s="7">
        <v>11</v>
      </c>
      <c r="I51" s="7">
        <v>5</v>
      </c>
    </row>
    <row r="52" spans="1:9" x14ac:dyDescent="0.25">
      <c r="A52" s="15" t="s">
        <v>481</v>
      </c>
      <c r="B52" s="15" t="s">
        <v>482</v>
      </c>
      <c r="C52" s="15" t="s">
        <v>405</v>
      </c>
      <c r="D52" s="7">
        <v>5</v>
      </c>
      <c r="E52" s="7">
        <v>8</v>
      </c>
      <c r="F52" s="7">
        <v>15</v>
      </c>
      <c r="G52" s="7">
        <v>10</v>
      </c>
      <c r="H52" s="7">
        <v>5</v>
      </c>
      <c r="I52" s="7">
        <v>23</v>
      </c>
    </row>
    <row r="53" spans="1:9" x14ac:dyDescent="0.25">
      <c r="A53" s="15" t="s">
        <v>539</v>
      </c>
      <c r="B53" s="15" t="s">
        <v>540</v>
      </c>
      <c r="C53" s="15" t="s">
        <v>405</v>
      </c>
      <c r="D53" s="7">
        <v>13</v>
      </c>
      <c r="E53" s="7">
        <v>15</v>
      </c>
      <c r="F53" s="7">
        <v>12</v>
      </c>
      <c r="G53" s="7">
        <v>13</v>
      </c>
      <c r="H53" s="7">
        <v>11</v>
      </c>
      <c r="I53" s="7">
        <v>13</v>
      </c>
    </row>
    <row r="54" spans="1:9" x14ac:dyDescent="0.25">
      <c r="A54" s="15" t="s">
        <v>544</v>
      </c>
      <c r="B54" s="15" t="s">
        <v>545</v>
      </c>
      <c r="C54" s="15" t="s">
        <v>405</v>
      </c>
      <c r="D54" s="7">
        <v>11</v>
      </c>
      <c r="E54" s="7">
        <v>11</v>
      </c>
      <c r="F54" s="7">
        <v>18</v>
      </c>
      <c r="G54" s="7">
        <v>15</v>
      </c>
      <c r="H54" s="7">
        <v>15</v>
      </c>
      <c r="I54" s="7">
        <v>25</v>
      </c>
    </row>
    <row r="55" spans="1:9" x14ac:dyDescent="0.25">
      <c r="A55" s="15" t="s">
        <v>565</v>
      </c>
      <c r="B55" s="15" t="s">
        <v>211</v>
      </c>
      <c r="C55" s="15" t="s">
        <v>405</v>
      </c>
      <c r="D55" s="7">
        <v>6</v>
      </c>
      <c r="E55" s="7">
        <v>8</v>
      </c>
      <c r="F55" s="7">
        <v>9</v>
      </c>
      <c r="G55" s="7">
        <v>8</v>
      </c>
      <c r="H55" s="7">
        <v>8</v>
      </c>
      <c r="I55" s="7">
        <v>22</v>
      </c>
    </row>
    <row r="56" spans="1:9" x14ac:dyDescent="0.25">
      <c r="A56" s="15" t="s">
        <v>315</v>
      </c>
      <c r="B56" s="15" t="s">
        <v>65</v>
      </c>
      <c r="C56" s="15" t="s">
        <v>316</v>
      </c>
      <c r="D56" s="7">
        <v>11</v>
      </c>
      <c r="E56" s="7">
        <v>18</v>
      </c>
      <c r="F56" s="7">
        <v>17</v>
      </c>
      <c r="G56" s="7">
        <v>13</v>
      </c>
      <c r="H56" s="7">
        <v>10</v>
      </c>
      <c r="I56" s="7">
        <v>26</v>
      </c>
    </row>
    <row r="57" spans="1:9" x14ac:dyDescent="0.25">
      <c r="A57" s="15" t="s">
        <v>238</v>
      </c>
      <c r="B57" s="15" t="s">
        <v>211</v>
      </c>
      <c r="C57" s="15" t="s">
        <v>239</v>
      </c>
      <c r="D57" s="7">
        <v>10</v>
      </c>
      <c r="E57" s="7">
        <v>19</v>
      </c>
      <c r="F57" s="7">
        <v>22</v>
      </c>
      <c r="G57" s="7">
        <v>18</v>
      </c>
      <c r="H57" s="7">
        <v>6</v>
      </c>
      <c r="I57" s="7">
        <v>10</v>
      </c>
    </row>
    <row r="58" spans="1:9" x14ac:dyDescent="0.25">
      <c r="A58" s="15" t="s">
        <v>201</v>
      </c>
      <c r="B58" s="15" t="s">
        <v>202</v>
      </c>
      <c r="C58" s="15" t="s">
        <v>203</v>
      </c>
      <c r="D58" s="7">
        <v>8</v>
      </c>
      <c r="E58" s="7">
        <v>9</v>
      </c>
      <c r="F58" s="7">
        <v>8</v>
      </c>
      <c r="G58" s="7">
        <v>9</v>
      </c>
      <c r="H58" s="7">
        <v>10</v>
      </c>
      <c r="I58" s="7">
        <v>10</v>
      </c>
    </row>
    <row r="59" spans="1:9" x14ac:dyDescent="0.25">
      <c r="A59" s="15" t="s">
        <v>459</v>
      </c>
      <c r="B59" s="15" t="s">
        <v>211</v>
      </c>
      <c r="C59" s="15" t="s">
        <v>203</v>
      </c>
      <c r="D59" s="7">
        <v>5</v>
      </c>
      <c r="E59" s="7">
        <v>5</v>
      </c>
      <c r="F59" s="7">
        <v>5</v>
      </c>
      <c r="G59" s="7">
        <v>6</v>
      </c>
      <c r="H59" s="7">
        <v>5</v>
      </c>
      <c r="I59" s="7">
        <v>5</v>
      </c>
    </row>
    <row r="60" spans="1:9" x14ac:dyDescent="0.25">
      <c r="A60" s="15" t="s">
        <v>468</v>
      </c>
      <c r="B60" s="15" t="s">
        <v>469</v>
      </c>
      <c r="C60" s="15" t="s">
        <v>558</v>
      </c>
      <c r="D60" s="7">
        <v>7</v>
      </c>
      <c r="E60" s="7">
        <v>9</v>
      </c>
      <c r="F60" s="7">
        <v>17</v>
      </c>
      <c r="G60" s="7">
        <v>15</v>
      </c>
      <c r="H60" s="7">
        <v>10</v>
      </c>
      <c r="I60" s="7">
        <v>15</v>
      </c>
    </row>
    <row r="61" spans="1:9" x14ac:dyDescent="0.25">
      <c r="A61" s="15" t="s">
        <v>556</v>
      </c>
      <c r="B61" s="15" t="s">
        <v>557</v>
      </c>
      <c r="C61" s="15" t="s">
        <v>558</v>
      </c>
      <c r="D61" s="7">
        <v>11</v>
      </c>
      <c r="E61" s="7">
        <v>12</v>
      </c>
      <c r="F61" s="7">
        <v>17</v>
      </c>
      <c r="G61" s="7">
        <v>15</v>
      </c>
      <c r="H61" s="7">
        <v>8</v>
      </c>
      <c r="I61" s="7">
        <v>22</v>
      </c>
    </row>
    <row r="62" spans="1:9" x14ac:dyDescent="0.25">
      <c r="A62" s="15" t="s">
        <v>425</v>
      </c>
      <c r="B62" s="15" t="s">
        <v>169</v>
      </c>
      <c r="C62" s="15" t="s">
        <v>422</v>
      </c>
      <c r="D62" s="7">
        <v>13</v>
      </c>
      <c r="E62" s="7">
        <v>8</v>
      </c>
      <c r="F62" s="7">
        <v>11</v>
      </c>
      <c r="G62" s="7">
        <v>14</v>
      </c>
      <c r="H62" s="7">
        <v>14</v>
      </c>
      <c r="I62" s="7">
        <v>15</v>
      </c>
    </row>
    <row r="63" spans="1:9" x14ac:dyDescent="0.25">
      <c r="A63" s="15" t="s">
        <v>421</v>
      </c>
      <c r="B63" s="15" t="s">
        <v>211</v>
      </c>
      <c r="C63" s="15" t="s">
        <v>422</v>
      </c>
      <c r="D63" s="7">
        <v>6</v>
      </c>
      <c r="E63" s="7">
        <v>6</v>
      </c>
      <c r="F63" s="7">
        <v>12</v>
      </c>
      <c r="G63" s="7">
        <v>13</v>
      </c>
      <c r="H63" s="7">
        <v>5</v>
      </c>
      <c r="I63" s="7">
        <v>5</v>
      </c>
    </row>
    <row r="64" spans="1:9" x14ac:dyDescent="0.25">
      <c r="A64" s="15" t="s">
        <v>145</v>
      </c>
      <c r="B64" s="15" t="s">
        <v>146</v>
      </c>
      <c r="C64" s="15" t="s">
        <v>147</v>
      </c>
      <c r="D64" s="15">
        <v>5</v>
      </c>
      <c r="E64" s="15">
        <v>8</v>
      </c>
      <c r="F64" s="15">
        <v>6</v>
      </c>
      <c r="G64" s="15">
        <v>5</v>
      </c>
      <c r="H64" s="15">
        <v>21</v>
      </c>
      <c r="I64" s="15">
        <v>14</v>
      </c>
    </row>
    <row r="65" spans="1:9" x14ac:dyDescent="0.25">
      <c r="A65" s="15" t="s">
        <v>262</v>
      </c>
      <c r="B65" s="15" t="s">
        <v>263</v>
      </c>
      <c r="C65" s="15" t="s">
        <v>147</v>
      </c>
      <c r="D65" s="7">
        <v>7</v>
      </c>
      <c r="E65" s="7">
        <v>9</v>
      </c>
      <c r="F65" s="7">
        <v>15</v>
      </c>
      <c r="G65" s="7">
        <v>7</v>
      </c>
      <c r="H65" s="7">
        <v>6</v>
      </c>
      <c r="I65" s="7">
        <v>17</v>
      </c>
    </row>
    <row r="66" spans="1:9" x14ac:dyDescent="0.25">
      <c r="A66" s="15" t="s">
        <v>331</v>
      </c>
      <c r="B66" s="15" t="s">
        <v>147</v>
      </c>
      <c r="C66" s="15" t="s">
        <v>147</v>
      </c>
      <c r="D66" s="7">
        <v>10</v>
      </c>
      <c r="E66" s="7">
        <v>8</v>
      </c>
      <c r="F66" s="7">
        <v>5</v>
      </c>
      <c r="G66" s="7">
        <v>9</v>
      </c>
      <c r="H66" s="7">
        <v>9</v>
      </c>
      <c r="I66" s="7">
        <v>9</v>
      </c>
    </row>
    <row r="67" spans="1:9" x14ac:dyDescent="0.25">
      <c r="A67" s="15" t="s">
        <v>251</v>
      </c>
      <c r="B67" s="15" t="s">
        <v>126</v>
      </c>
      <c r="C67" s="15" t="s">
        <v>393</v>
      </c>
      <c r="D67" s="7">
        <v>5</v>
      </c>
      <c r="E67" s="7">
        <v>5</v>
      </c>
      <c r="F67" s="7">
        <v>5</v>
      </c>
      <c r="G67" s="7">
        <v>6</v>
      </c>
      <c r="H67" s="7">
        <v>5</v>
      </c>
      <c r="I67" s="7">
        <v>5</v>
      </c>
    </row>
    <row r="68" spans="1:9" x14ac:dyDescent="0.25">
      <c r="A68" s="15" t="s">
        <v>392</v>
      </c>
      <c r="B68" s="15" t="s">
        <v>67</v>
      </c>
      <c r="C68" s="15" t="s">
        <v>393</v>
      </c>
      <c r="D68" s="7">
        <v>7</v>
      </c>
      <c r="E68" s="7">
        <v>6</v>
      </c>
      <c r="F68" s="7">
        <v>8</v>
      </c>
      <c r="G68" s="7">
        <v>14</v>
      </c>
      <c r="H68" s="7">
        <v>7</v>
      </c>
      <c r="I68" s="7">
        <v>9</v>
      </c>
    </row>
    <row r="69" spans="1:9" x14ac:dyDescent="0.25">
      <c r="A69" s="15" t="s">
        <v>511</v>
      </c>
      <c r="B69" s="15" t="s">
        <v>512</v>
      </c>
      <c r="C69" s="15" t="s">
        <v>393</v>
      </c>
      <c r="D69" s="7">
        <v>7</v>
      </c>
      <c r="E69" s="7">
        <v>10</v>
      </c>
      <c r="F69" s="7">
        <v>12</v>
      </c>
      <c r="G69" s="7">
        <v>10</v>
      </c>
      <c r="H69" s="7">
        <v>7</v>
      </c>
      <c r="I69" s="7">
        <v>27</v>
      </c>
    </row>
    <row r="70" spans="1:9" x14ac:dyDescent="0.25">
      <c r="A70" s="15" t="s">
        <v>355</v>
      </c>
      <c r="B70" s="15" t="s">
        <v>211</v>
      </c>
      <c r="C70" s="15" t="s">
        <v>593</v>
      </c>
      <c r="D70" s="7">
        <v>7</v>
      </c>
      <c r="E70" s="7">
        <v>5</v>
      </c>
      <c r="F70" s="7">
        <v>11</v>
      </c>
      <c r="G70" s="7">
        <v>10</v>
      </c>
      <c r="H70" s="7">
        <v>5</v>
      </c>
      <c r="I70" s="7">
        <v>6</v>
      </c>
    </row>
    <row r="71" spans="1:9" x14ac:dyDescent="0.25">
      <c r="A71" s="15" t="s">
        <v>130</v>
      </c>
      <c r="B71" s="15" t="s">
        <v>131</v>
      </c>
      <c r="C71" s="15" t="s">
        <v>132</v>
      </c>
      <c r="D71" s="15">
        <v>10</v>
      </c>
      <c r="E71" s="15">
        <v>13</v>
      </c>
      <c r="F71" s="15">
        <v>13</v>
      </c>
      <c r="G71" s="15">
        <v>9</v>
      </c>
      <c r="H71" s="15">
        <v>7</v>
      </c>
      <c r="I71" s="15">
        <v>12</v>
      </c>
    </row>
    <row r="72" spans="1:9" x14ac:dyDescent="0.25">
      <c r="A72" s="15" t="s">
        <v>287</v>
      </c>
      <c r="B72" s="15" t="s">
        <v>131</v>
      </c>
      <c r="C72" s="15" t="s">
        <v>132</v>
      </c>
      <c r="D72" s="7">
        <v>9</v>
      </c>
      <c r="E72" s="7">
        <v>12</v>
      </c>
      <c r="F72" s="7">
        <v>11</v>
      </c>
      <c r="G72" s="7">
        <v>11</v>
      </c>
      <c r="H72" s="7">
        <v>12</v>
      </c>
      <c r="I72" s="7">
        <v>19</v>
      </c>
    </row>
    <row r="73" spans="1:9" x14ac:dyDescent="0.25">
      <c r="A73" s="15" t="s">
        <v>294</v>
      </c>
      <c r="B73" s="15" t="s">
        <v>295</v>
      </c>
      <c r="C73" s="15" t="s">
        <v>132</v>
      </c>
      <c r="D73" s="7">
        <v>10</v>
      </c>
      <c r="E73" s="7">
        <v>11</v>
      </c>
      <c r="F73" s="7">
        <v>11</v>
      </c>
      <c r="G73" s="7">
        <v>21</v>
      </c>
      <c r="H73" s="7">
        <v>15</v>
      </c>
      <c r="I73" s="7">
        <v>16</v>
      </c>
    </row>
    <row r="74" spans="1:9" x14ac:dyDescent="0.25">
      <c r="A74" s="15" t="s">
        <v>272</v>
      </c>
      <c r="B74" s="15" t="s">
        <v>66</v>
      </c>
      <c r="C74" s="15" t="s">
        <v>142</v>
      </c>
      <c r="D74" s="7">
        <v>6</v>
      </c>
      <c r="E74" s="7">
        <v>8</v>
      </c>
      <c r="F74" s="7">
        <v>16</v>
      </c>
      <c r="G74" s="7">
        <v>12</v>
      </c>
      <c r="H74" s="7">
        <v>7</v>
      </c>
      <c r="I74" s="7">
        <v>14</v>
      </c>
    </row>
    <row r="75" spans="1:9" x14ac:dyDescent="0.25">
      <c r="A75" s="15" t="s">
        <v>305</v>
      </c>
      <c r="B75" s="15" t="s">
        <v>306</v>
      </c>
      <c r="C75" s="15" t="s">
        <v>142</v>
      </c>
      <c r="D75" s="7">
        <v>13</v>
      </c>
      <c r="E75" s="7">
        <v>11</v>
      </c>
      <c r="F75" s="7">
        <v>17</v>
      </c>
      <c r="G75" s="7">
        <v>18</v>
      </c>
      <c r="H75" s="7">
        <v>11</v>
      </c>
      <c r="I75" s="7">
        <v>13</v>
      </c>
    </row>
    <row r="76" spans="1:9" x14ac:dyDescent="0.25">
      <c r="A76" s="15" t="s">
        <v>140</v>
      </c>
      <c r="B76" s="15" t="s">
        <v>141</v>
      </c>
      <c r="C76" s="15" t="s">
        <v>142</v>
      </c>
      <c r="D76" s="15">
        <v>11</v>
      </c>
      <c r="E76" s="15">
        <v>13</v>
      </c>
      <c r="F76" s="15">
        <v>19</v>
      </c>
      <c r="G76" s="15">
        <v>20</v>
      </c>
      <c r="H76" s="15">
        <v>8</v>
      </c>
      <c r="I76" s="15">
        <v>22</v>
      </c>
    </row>
    <row r="77" spans="1:9" x14ac:dyDescent="0.25">
      <c r="A77" s="15" t="s">
        <v>437</v>
      </c>
      <c r="B77" s="15" t="s">
        <v>141</v>
      </c>
      <c r="C77" s="15" t="s">
        <v>142</v>
      </c>
      <c r="D77" s="7">
        <v>13</v>
      </c>
      <c r="E77" s="7">
        <v>12</v>
      </c>
      <c r="F77" s="7">
        <v>15</v>
      </c>
      <c r="G77" s="7">
        <v>16</v>
      </c>
      <c r="H77" s="7">
        <v>14</v>
      </c>
      <c r="I77" s="7">
        <v>18</v>
      </c>
    </row>
    <row r="78" spans="1:9" x14ac:dyDescent="0.25">
      <c r="A78" s="15" t="s">
        <v>534</v>
      </c>
      <c r="B78" s="15" t="s">
        <v>535</v>
      </c>
      <c r="C78" s="15" t="s">
        <v>142</v>
      </c>
      <c r="D78" s="7">
        <v>10</v>
      </c>
      <c r="E78" s="7">
        <v>12</v>
      </c>
      <c r="F78" s="7">
        <v>25</v>
      </c>
      <c r="G78" s="7">
        <v>19</v>
      </c>
      <c r="H78" s="7">
        <v>10</v>
      </c>
      <c r="I78" s="7">
        <v>14</v>
      </c>
    </row>
    <row r="79" spans="1:9" x14ac:dyDescent="0.25">
      <c r="A79" s="15" t="s">
        <v>135</v>
      </c>
      <c r="B79" s="15" t="s">
        <v>136</v>
      </c>
      <c r="C79" s="15" t="s">
        <v>137</v>
      </c>
      <c r="D79" s="15">
        <v>7</v>
      </c>
      <c r="E79" s="15">
        <v>9</v>
      </c>
      <c r="F79" s="15">
        <v>23</v>
      </c>
      <c r="G79" s="15">
        <v>20</v>
      </c>
      <c r="H79" s="15">
        <v>7</v>
      </c>
      <c r="I79" s="15">
        <v>32</v>
      </c>
    </row>
    <row r="80" spans="1:9" x14ac:dyDescent="0.25">
      <c r="A80" s="15" t="s">
        <v>164</v>
      </c>
      <c r="B80" s="15" t="s">
        <v>165</v>
      </c>
      <c r="C80" s="15" t="s">
        <v>137</v>
      </c>
      <c r="D80" s="15">
        <v>14</v>
      </c>
      <c r="E80" s="15">
        <v>12</v>
      </c>
      <c r="F80" s="15">
        <v>13</v>
      </c>
      <c r="G80" s="15">
        <v>12</v>
      </c>
      <c r="H80" s="15">
        <v>15</v>
      </c>
      <c r="I80" s="15">
        <v>10</v>
      </c>
    </row>
    <row r="81" spans="1:9" x14ac:dyDescent="0.25">
      <c r="A81" s="15" t="s">
        <v>173</v>
      </c>
      <c r="B81" s="15" t="s">
        <v>174</v>
      </c>
      <c r="C81" s="15" t="s">
        <v>137</v>
      </c>
      <c r="D81" s="7">
        <v>6</v>
      </c>
      <c r="E81" s="7">
        <v>6</v>
      </c>
      <c r="F81" s="7">
        <v>14</v>
      </c>
      <c r="G81" s="7">
        <v>19</v>
      </c>
      <c r="H81" s="7">
        <v>8</v>
      </c>
      <c r="I81" s="7">
        <v>16</v>
      </c>
    </row>
    <row r="82" spans="1:9" x14ac:dyDescent="0.25">
      <c r="A82" s="15" t="s">
        <v>187</v>
      </c>
      <c r="B82" s="15" t="s">
        <v>174</v>
      </c>
      <c r="C82" s="15" t="s">
        <v>137</v>
      </c>
      <c r="D82" s="7">
        <v>14</v>
      </c>
      <c r="E82" s="7">
        <v>11</v>
      </c>
      <c r="F82" s="7">
        <v>27</v>
      </c>
      <c r="G82" s="7">
        <v>13</v>
      </c>
      <c r="H82" s="7">
        <v>27</v>
      </c>
      <c r="I82" s="7">
        <v>32</v>
      </c>
    </row>
    <row r="83" spans="1:9" x14ac:dyDescent="0.25">
      <c r="A83" s="15" t="s">
        <v>197</v>
      </c>
      <c r="B83" s="15" t="s">
        <v>198</v>
      </c>
      <c r="C83" s="15" t="s">
        <v>137</v>
      </c>
      <c r="D83" s="7">
        <v>9</v>
      </c>
      <c r="E83" s="7">
        <v>11</v>
      </c>
      <c r="F83" s="7">
        <v>12</v>
      </c>
      <c r="G83" s="7">
        <v>8</v>
      </c>
      <c r="H83" s="7">
        <v>12</v>
      </c>
      <c r="I83" s="7">
        <v>20</v>
      </c>
    </row>
    <row r="84" spans="1:9" x14ac:dyDescent="0.25">
      <c r="A84" s="15" t="s">
        <v>206</v>
      </c>
      <c r="B84" s="15" t="s">
        <v>207</v>
      </c>
      <c r="C84" s="15" t="s">
        <v>137</v>
      </c>
      <c r="D84" s="7">
        <v>9</v>
      </c>
      <c r="E84" s="7">
        <v>9</v>
      </c>
      <c r="F84" s="7">
        <v>16</v>
      </c>
      <c r="G84" s="7">
        <v>14</v>
      </c>
      <c r="H84" s="7">
        <v>10</v>
      </c>
      <c r="I84" s="7">
        <v>15</v>
      </c>
    </row>
    <row r="85" spans="1:9" x14ac:dyDescent="0.25">
      <c r="A85" s="15" t="s">
        <v>215</v>
      </c>
      <c r="B85" s="15" t="s">
        <v>216</v>
      </c>
      <c r="C85" s="15" t="s">
        <v>137</v>
      </c>
      <c r="D85" s="7">
        <v>6</v>
      </c>
      <c r="E85" s="7">
        <v>7</v>
      </c>
      <c r="F85" s="7">
        <v>18</v>
      </c>
      <c r="G85" s="7">
        <v>17</v>
      </c>
      <c r="H85" s="7">
        <v>9</v>
      </c>
      <c r="I85" s="7">
        <v>10</v>
      </c>
    </row>
    <row r="86" spans="1:9" x14ac:dyDescent="0.25">
      <c r="A86" s="15" t="s">
        <v>219</v>
      </c>
      <c r="B86" s="15" t="s">
        <v>174</v>
      </c>
      <c r="C86" s="15" t="s">
        <v>137</v>
      </c>
      <c r="D86" s="7">
        <v>7</v>
      </c>
      <c r="E86" s="7">
        <v>9</v>
      </c>
      <c r="F86" s="7">
        <v>16</v>
      </c>
      <c r="G86" s="7">
        <v>14</v>
      </c>
      <c r="H86" s="7">
        <v>17</v>
      </c>
      <c r="I86" s="7">
        <v>19</v>
      </c>
    </row>
    <row r="87" spans="1:9" x14ac:dyDescent="0.25">
      <c r="A87" s="15" t="s">
        <v>225</v>
      </c>
      <c r="B87" s="15" t="s">
        <v>226</v>
      </c>
      <c r="C87" s="15" t="s">
        <v>137</v>
      </c>
      <c r="D87" s="7">
        <v>7</v>
      </c>
      <c r="E87" s="7">
        <v>8</v>
      </c>
      <c r="F87" s="7">
        <v>13</v>
      </c>
      <c r="G87" s="7">
        <v>8</v>
      </c>
      <c r="H87" s="7">
        <v>8</v>
      </c>
      <c r="I87" s="7">
        <v>8</v>
      </c>
    </row>
    <row r="88" spans="1:9" x14ac:dyDescent="0.25">
      <c r="A88" s="15" t="s">
        <v>234</v>
      </c>
      <c r="B88" s="15" t="s">
        <v>235</v>
      </c>
      <c r="C88" s="15" t="s">
        <v>137</v>
      </c>
      <c r="D88" s="7">
        <v>21</v>
      </c>
      <c r="E88" s="7">
        <v>16</v>
      </c>
      <c r="F88" s="7">
        <v>22</v>
      </c>
      <c r="G88" s="7">
        <v>23</v>
      </c>
      <c r="H88" s="7">
        <v>24</v>
      </c>
      <c r="I88" s="7">
        <v>17</v>
      </c>
    </row>
    <row r="89" spans="1:9" x14ac:dyDescent="0.25">
      <c r="A89" s="15" t="s">
        <v>247</v>
      </c>
      <c r="B89" s="15" t="s">
        <v>248</v>
      </c>
      <c r="C89" s="15" t="s">
        <v>137</v>
      </c>
      <c r="D89" s="7">
        <v>6</v>
      </c>
      <c r="E89" s="7">
        <v>7</v>
      </c>
      <c r="F89" s="7">
        <v>8</v>
      </c>
      <c r="G89" s="7">
        <v>9</v>
      </c>
      <c r="H89" s="7">
        <v>8</v>
      </c>
      <c r="I89" s="7">
        <v>6</v>
      </c>
    </row>
    <row r="90" spans="1:9" x14ac:dyDescent="0.25">
      <c r="A90" s="15" t="s">
        <v>255</v>
      </c>
      <c r="B90" s="15" t="s">
        <v>256</v>
      </c>
      <c r="C90" s="15" t="s">
        <v>137</v>
      </c>
      <c r="D90" s="7">
        <v>15</v>
      </c>
      <c r="E90" s="7">
        <v>12</v>
      </c>
      <c r="F90" s="7">
        <v>13</v>
      </c>
      <c r="G90" s="7">
        <v>13</v>
      </c>
      <c r="H90" s="7">
        <v>16</v>
      </c>
      <c r="I90" s="7">
        <v>14</v>
      </c>
    </row>
    <row r="91" spans="1:9" x14ac:dyDescent="0.25">
      <c r="A91" s="15" t="s">
        <v>259</v>
      </c>
      <c r="B91" s="15" t="s">
        <v>174</v>
      </c>
      <c r="C91" s="15" t="s">
        <v>137</v>
      </c>
      <c r="D91" s="7">
        <v>18</v>
      </c>
      <c r="E91" s="7">
        <v>20</v>
      </c>
      <c r="F91" s="7">
        <v>22</v>
      </c>
      <c r="G91" s="7">
        <v>29</v>
      </c>
      <c r="H91" s="7">
        <v>25</v>
      </c>
      <c r="I91" s="7">
        <v>13</v>
      </c>
    </row>
    <row r="92" spans="1:9" x14ac:dyDescent="0.25">
      <c r="A92" s="15" t="s">
        <v>279</v>
      </c>
      <c r="B92" s="15" t="s">
        <v>256</v>
      </c>
      <c r="C92" s="15" t="s">
        <v>137</v>
      </c>
      <c r="D92" s="7">
        <v>21</v>
      </c>
      <c r="E92" s="7">
        <v>18</v>
      </c>
      <c r="F92" s="7">
        <v>13</v>
      </c>
      <c r="G92" s="7">
        <v>16</v>
      </c>
      <c r="H92" s="7">
        <v>22</v>
      </c>
      <c r="I92" s="7">
        <v>22</v>
      </c>
    </row>
    <row r="93" spans="1:9" x14ac:dyDescent="0.25">
      <c r="A93" s="15" t="s">
        <v>290</v>
      </c>
      <c r="B93" s="15" t="s">
        <v>291</v>
      </c>
      <c r="C93" s="15" t="s">
        <v>137</v>
      </c>
      <c r="D93" s="7">
        <v>5</v>
      </c>
      <c r="E93" s="7">
        <v>5</v>
      </c>
      <c r="F93" s="7">
        <v>5</v>
      </c>
      <c r="G93" s="7">
        <v>5</v>
      </c>
      <c r="H93" s="7">
        <v>5</v>
      </c>
      <c r="I93" s="7">
        <v>5</v>
      </c>
    </row>
    <row r="94" spans="1:9" x14ac:dyDescent="0.25">
      <c r="A94" s="15" t="s">
        <v>298</v>
      </c>
      <c r="B94" s="15" t="s">
        <v>174</v>
      </c>
      <c r="C94" s="15" t="s">
        <v>137</v>
      </c>
      <c r="D94" s="7">
        <v>6</v>
      </c>
      <c r="E94" s="7">
        <v>6</v>
      </c>
      <c r="F94" s="7">
        <v>5</v>
      </c>
      <c r="G94" s="7">
        <v>7</v>
      </c>
      <c r="H94" s="7">
        <v>5</v>
      </c>
      <c r="I94" s="7">
        <v>6</v>
      </c>
    </row>
    <row r="95" spans="1:9" x14ac:dyDescent="0.25">
      <c r="A95" s="15" t="s">
        <v>301</v>
      </c>
      <c r="B95" s="15" t="s">
        <v>302</v>
      </c>
      <c r="C95" s="15" t="s">
        <v>137</v>
      </c>
      <c r="D95" s="7">
        <v>11</v>
      </c>
      <c r="E95" s="7">
        <v>16</v>
      </c>
      <c r="F95" s="7">
        <v>16</v>
      </c>
      <c r="G95" s="7">
        <v>9</v>
      </c>
      <c r="H95" s="7">
        <v>5</v>
      </c>
      <c r="I95" s="7">
        <v>9</v>
      </c>
    </row>
    <row r="96" spans="1:9" x14ac:dyDescent="0.25">
      <c r="A96" s="15" t="s">
        <v>309</v>
      </c>
      <c r="B96" s="15" t="s">
        <v>256</v>
      </c>
      <c r="C96" s="15" t="s">
        <v>137</v>
      </c>
      <c r="D96" s="7">
        <v>22</v>
      </c>
      <c r="E96" s="7">
        <v>20</v>
      </c>
      <c r="F96" s="7">
        <v>23</v>
      </c>
      <c r="G96" s="7">
        <v>24</v>
      </c>
      <c r="H96" s="7">
        <v>21</v>
      </c>
      <c r="I96" s="7">
        <v>10</v>
      </c>
    </row>
    <row r="97" spans="1:9" x14ac:dyDescent="0.25">
      <c r="A97" s="15" t="s">
        <v>312</v>
      </c>
      <c r="B97" s="15" t="s">
        <v>174</v>
      </c>
      <c r="C97" s="15" t="s">
        <v>137</v>
      </c>
      <c r="D97" s="7">
        <v>5</v>
      </c>
      <c r="E97" s="7">
        <v>5</v>
      </c>
      <c r="F97" s="7">
        <v>8</v>
      </c>
      <c r="G97" s="7">
        <v>11</v>
      </c>
      <c r="H97" s="7">
        <v>5</v>
      </c>
      <c r="I97" s="7">
        <v>13</v>
      </c>
    </row>
    <row r="98" spans="1:9" x14ac:dyDescent="0.25">
      <c r="A98" s="15" t="s">
        <v>346</v>
      </c>
      <c r="B98" s="15" t="s">
        <v>347</v>
      </c>
      <c r="C98" s="15" t="s">
        <v>348</v>
      </c>
      <c r="D98" s="7">
        <v>8</v>
      </c>
      <c r="E98" s="7">
        <v>6</v>
      </c>
      <c r="F98" s="7">
        <v>8</v>
      </c>
      <c r="G98" s="7">
        <v>10</v>
      </c>
      <c r="H98" s="7">
        <v>6</v>
      </c>
      <c r="I98" s="7">
        <v>8</v>
      </c>
    </row>
    <row r="99" spans="1:9" x14ac:dyDescent="0.25">
      <c r="A99" s="15" t="s">
        <v>363</v>
      </c>
      <c r="B99" s="15" t="s">
        <v>174</v>
      </c>
      <c r="C99" s="15" t="s">
        <v>137</v>
      </c>
      <c r="D99" s="7">
        <v>11</v>
      </c>
      <c r="E99" s="7">
        <v>11</v>
      </c>
      <c r="F99" s="7">
        <v>10</v>
      </c>
      <c r="G99" s="7">
        <v>11</v>
      </c>
      <c r="H99" s="7">
        <v>13</v>
      </c>
      <c r="I99" s="7">
        <v>8</v>
      </c>
    </row>
    <row r="100" spans="1:9" x14ac:dyDescent="0.25">
      <c r="A100" s="15" t="s">
        <v>366</v>
      </c>
      <c r="B100" s="15" t="s">
        <v>256</v>
      </c>
      <c r="C100" s="15" t="s">
        <v>137</v>
      </c>
      <c r="D100" s="7">
        <v>9</v>
      </c>
      <c r="E100" s="7">
        <v>7</v>
      </c>
      <c r="F100" s="7">
        <v>13</v>
      </c>
      <c r="G100" s="7">
        <v>12</v>
      </c>
      <c r="H100" s="7">
        <v>12</v>
      </c>
      <c r="I100" s="7">
        <v>18</v>
      </c>
    </row>
    <row r="101" spans="1:9" x14ac:dyDescent="0.25">
      <c r="A101" s="15" t="s">
        <v>374</v>
      </c>
      <c r="B101" s="15" t="s">
        <v>256</v>
      </c>
      <c r="C101" s="15" t="s">
        <v>137</v>
      </c>
      <c r="D101" s="7">
        <v>6</v>
      </c>
      <c r="E101" s="7">
        <v>7</v>
      </c>
      <c r="F101" s="7">
        <v>12</v>
      </c>
      <c r="G101" s="7">
        <v>11</v>
      </c>
      <c r="H101" s="7">
        <v>9</v>
      </c>
      <c r="I101" s="7">
        <v>6</v>
      </c>
    </row>
    <row r="102" spans="1:9" x14ac:dyDescent="0.25">
      <c r="A102" s="15" t="s">
        <v>380</v>
      </c>
      <c r="B102" s="15" t="s">
        <v>174</v>
      </c>
      <c r="C102" s="15" t="s">
        <v>137</v>
      </c>
      <c r="D102" s="7">
        <v>5</v>
      </c>
      <c r="E102" s="7">
        <v>5</v>
      </c>
      <c r="F102" s="7">
        <v>9</v>
      </c>
      <c r="G102" s="7">
        <v>6</v>
      </c>
      <c r="H102" s="7">
        <v>6</v>
      </c>
      <c r="I102" s="7">
        <v>6</v>
      </c>
    </row>
    <row r="103" spans="1:9" x14ac:dyDescent="0.25">
      <c r="A103" s="15" t="s">
        <v>396</v>
      </c>
      <c r="B103" s="15" t="s">
        <v>397</v>
      </c>
      <c r="C103" s="15" t="s">
        <v>137</v>
      </c>
      <c r="D103" s="7">
        <v>19</v>
      </c>
      <c r="E103" s="7">
        <v>19</v>
      </c>
      <c r="F103" s="7">
        <v>27</v>
      </c>
      <c r="G103" s="7">
        <v>22</v>
      </c>
      <c r="H103" s="7">
        <v>21</v>
      </c>
      <c r="I103" s="7">
        <v>15</v>
      </c>
    </row>
    <row r="104" spans="1:9" x14ac:dyDescent="0.25">
      <c r="A104" s="15" t="s">
        <v>456</v>
      </c>
      <c r="B104" s="15" t="s">
        <v>174</v>
      </c>
      <c r="C104" s="15" t="s">
        <v>137</v>
      </c>
      <c r="D104" s="7">
        <v>10</v>
      </c>
      <c r="E104" s="7">
        <v>12</v>
      </c>
      <c r="F104" s="7">
        <v>17</v>
      </c>
      <c r="G104" s="7">
        <v>18</v>
      </c>
      <c r="H104" s="7">
        <v>15</v>
      </c>
      <c r="I104" s="7">
        <v>20</v>
      </c>
    </row>
    <row r="105" spans="1:9" x14ac:dyDescent="0.25">
      <c r="A105" s="15" t="s">
        <v>465</v>
      </c>
      <c r="B105" s="15" t="s">
        <v>256</v>
      </c>
      <c r="C105" s="15" t="s">
        <v>137</v>
      </c>
      <c r="D105" s="7">
        <v>9</v>
      </c>
      <c r="E105" s="7">
        <v>9</v>
      </c>
      <c r="F105" s="7">
        <v>9</v>
      </c>
      <c r="G105" s="7">
        <v>11</v>
      </c>
      <c r="H105" s="7">
        <v>14</v>
      </c>
      <c r="I105" s="7">
        <v>10</v>
      </c>
    </row>
    <row r="106" spans="1:9" x14ac:dyDescent="0.25">
      <c r="A106" s="15" t="s">
        <v>492</v>
      </c>
      <c r="B106" s="15" t="s">
        <v>174</v>
      </c>
      <c r="C106" s="15" t="s">
        <v>137</v>
      </c>
      <c r="D106" s="7">
        <v>14</v>
      </c>
      <c r="E106" s="7">
        <v>15</v>
      </c>
      <c r="F106" s="7">
        <v>9</v>
      </c>
      <c r="G106" s="7">
        <v>17</v>
      </c>
      <c r="H106" s="7">
        <v>20</v>
      </c>
      <c r="I106" s="7">
        <v>19</v>
      </c>
    </row>
    <row r="107" spans="1:9" x14ac:dyDescent="0.25">
      <c r="A107" s="15" t="s">
        <v>498</v>
      </c>
      <c r="B107" s="15" t="s">
        <v>499</v>
      </c>
      <c r="C107" s="15" t="s">
        <v>137</v>
      </c>
      <c r="D107" s="7">
        <v>11</v>
      </c>
      <c r="E107" s="7">
        <v>10</v>
      </c>
      <c r="F107" s="7">
        <v>14</v>
      </c>
      <c r="G107" s="7">
        <v>15</v>
      </c>
      <c r="H107" s="7">
        <v>12</v>
      </c>
      <c r="I107" s="7">
        <v>19</v>
      </c>
    </row>
    <row r="108" spans="1:9" x14ac:dyDescent="0.25">
      <c r="A108" s="15" t="s">
        <v>502</v>
      </c>
      <c r="B108" s="15" t="s">
        <v>174</v>
      </c>
      <c r="C108" s="15" t="s">
        <v>137</v>
      </c>
      <c r="D108" s="7">
        <v>15</v>
      </c>
      <c r="E108" s="7">
        <v>6</v>
      </c>
      <c r="F108" s="7">
        <v>18</v>
      </c>
      <c r="G108" s="7">
        <v>16</v>
      </c>
      <c r="H108" s="7">
        <v>21</v>
      </c>
      <c r="I108" s="7">
        <v>19</v>
      </c>
    </row>
    <row r="109" spans="1:9" x14ac:dyDescent="0.25">
      <c r="A109" s="15" t="s">
        <v>505</v>
      </c>
      <c r="B109" s="15" t="s">
        <v>116</v>
      </c>
      <c r="C109" s="15" t="s">
        <v>137</v>
      </c>
      <c r="D109" s="7">
        <v>10</v>
      </c>
      <c r="E109" s="7">
        <v>14</v>
      </c>
      <c r="F109" s="7">
        <v>5</v>
      </c>
      <c r="G109" s="7">
        <v>11</v>
      </c>
      <c r="H109" s="7">
        <v>6</v>
      </c>
      <c r="I109" s="7">
        <v>12</v>
      </c>
    </row>
    <row r="110" spans="1:9" x14ac:dyDescent="0.25">
      <c r="A110" s="15" t="s">
        <v>561</v>
      </c>
      <c r="B110" s="15" t="s">
        <v>562</v>
      </c>
      <c r="C110" s="15" t="s">
        <v>137</v>
      </c>
      <c r="D110" s="7">
        <v>15</v>
      </c>
      <c r="E110" s="7">
        <v>12</v>
      </c>
      <c r="F110" s="7">
        <v>17</v>
      </c>
      <c r="G110" s="7">
        <v>17</v>
      </c>
      <c r="H110" s="7">
        <v>14</v>
      </c>
      <c r="I110" s="7">
        <v>22</v>
      </c>
    </row>
    <row r="111" spans="1:9" x14ac:dyDescent="0.25">
      <c r="A111" s="15" t="s">
        <v>120</v>
      </c>
      <c r="B111" s="15" t="s">
        <v>121</v>
      </c>
      <c r="C111" s="15" t="s">
        <v>122</v>
      </c>
      <c r="D111" s="15">
        <v>12</v>
      </c>
      <c r="E111" s="15">
        <v>14</v>
      </c>
      <c r="F111" s="15">
        <v>18</v>
      </c>
      <c r="G111" s="15">
        <v>21</v>
      </c>
      <c r="H111" s="15">
        <v>20</v>
      </c>
      <c r="I111" s="15">
        <v>15</v>
      </c>
    </row>
    <row r="112" spans="1:9" x14ac:dyDescent="0.25">
      <c r="A112" s="15" t="s">
        <v>222</v>
      </c>
      <c r="B112" s="15" t="s">
        <v>122</v>
      </c>
      <c r="C112" s="15" t="s">
        <v>122</v>
      </c>
      <c r="D112" s="7">
        <v>17</v>
      </c>
      <c r="E112" s="7">
        <v>18</v>
      </c>
      <c r="F112" s="7">
        <v>18</v>
      </c>
      <c r="G112" s="7">
        <v>15</v>
      </c>
      <c r="H112" s="7">
        <v>25</v>
      </c>
      <c r="I112" s="7">
        <v>16</v>
      </c>
    </row>
    <row r="113" spans="1:9" x14ac:dyDescent="0.25">
      <c r="A113" s="15" t="s">
        <v>447</v>
      </c>
      <c r="B113" s="15" t="s">
        <v>178</v>
      </c>
      <c r="C113" s="15" t="s">
        <v>448</v>
      </c>
      <c r="D113" s="7">
        <v>5</v>
      </c>
      <c r="E113" s="7">
        <v>5</v>
      </c>
      <c r="F113" s="7">
        <v>5</v>
      </c>
      <c r="G113" s="7">
        <v>10</v>
      </c>
      <c r="H113" s="7">
        <v>5</v>
      </c>
      <c r="I113" s="7">
        <v>8</v>
      </c>
    </row>
  </sheetData>
  <sortState xmlns:xlrd2="http://schemas.microsoft.com/office/spreadsheetml/2017/richdata2" ref="A2:I114">
    <sortCondition ref="C73:C114"/>
  </sortState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L11"/>
  <sheetViews>
    <sheetView workbookViewId="0">
      <selection activeCell="A2" sqref="A2:A6"/>
    </sheetView>
  </sheetViews>
  <sheetFormatPr defaultRowHeight="15" x14ac:dyDescent="0.25"/>
  <cols>
    <col min="1" max="1" width="15.28515625" customWidth="1"/>
    <col min="2" max="2" width="12" bestFit="1" customWidth="1"/>
    <col min="3" max="3" width="19.28515625" customWidth="1"/>
    <col min="4" max="5" width="9.5703125" bestFit="1" customWidth="1"/>
    <col min="6" max="7" width="12.140625" bestFit="1" customWidth="1"/>
    <col min="8" max="8" width="9.28515625" bestFit="1" customWidth="1"/>
    <col min="9" max="9" width="9.5703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595</v>
      </c>
      <c r="B2" s="15" t="s">
        <v>66</v>
      </c>
      <c r="C2" s="15" t="s">
        <v>142</v>
      </c>
      <c r="D2" s="24">
        <v>6</v>
      </c>
      <c r="E2" s="24">
        <v>8</v>
      </c>
      <c r="F2" s="23">
        <v>16</v>
      </c>
      <c r="G2" s="23">
        <v>12</v>
      </c>
      <c r="H2" s="24">
        <v>7</v>
      </c>
      <c r="I2" s="23">
        <v>14</v>
      </c>
      <c r="K2" t="s">
        <v>45</v>
      </c>
      <c r="L2" t="s">
        <v>1</v>
      </c>
    </row>
    <row r="3" spans="1:12" x14ac:dyDescent="0.25">
      <c r="A3" s="15" t="s">
        <v>596</v>
      </c>
      <c r="B3" s="15" t="s">
        <v>306</v>
      </c>
      <c r="C3" s="15" t="s">
        <v>142</v>
      </c>
      <c r="D3" s="23">
        <v>13</v>
      </c>
      <c r="E3" s="23">
        <v>11</v>
      </c>
      <c r="F3" s="23">
        <v>17</v>
      </c>
      <c r="G3" s="23">
        <v>18</v>
      </c>
      <c r="H3" s="23">
        <v>11</v>
      </c>
      <c r="I3" s="23">
        <v>13</v>
      </c>
      <c r="K3" t="s">
        <v>47</v>
      </c>
      <c r="L3" t="s">
        <v>2</v>
      </c>
    </row>
    <row r="4" spans="1:12" x14ac:dyDescent="0.25">
      <c r="A4" s="15" t="s">
        <v>597</v>
      </c>
      <c r="B4" s="15" t="s">
        <v>141</v>
      </c>
      <c r="C4" s="15" t="s">
        <v>142</v>
      </c>
      <c r="D4" s="22">
        <v>11</v>
      </c>
      <c r="E4" s="22">
        <v>13</v>
      </c>
      <c r="F4" s="22">
        <v>19</v>
      </c>
      <c r="G4" s="22">
        <v>20</v>
      </c>
      <c r="H4" s="25">
        <v>8</v>
      </c>
      <c r="I4" s="22">
        <v>22</v>
      </c>
      <c r="K4" t="s">
        <v>49</v>
      </c>
      <c r="L4" t="s">
        <v>3</v>
      </c>
    </row>
    <row r="5" spans="1:12" x14ac:dyDescent="0.25">
      <c r="A5" s="15" t="s">
        <v>598</v>
      </c>
      <c r="B5" s="15" t="s">
        <v>141</v>
      </c>
      <c r="C5" s="15" t="s">
        <v>142</v>
      </c>
      <c r="D5" s="23">
        <v>13</v>
      </c>
      <c r="E5" s="23">
        <v>12</v>
      </c>
      <c r="F5" s="23">
        <v>15</v>
      </c>
      <c r="G5" s="23">
        <v>16</v>
      </c>
      <c r="H5" s="23">
        <v>14</v>
      </c>
      <c r="I5" s="23">
        <v>18</v>
      </c>
      <c r="K5" t="s">
        <v>51</v>
      </c>
      <c r="L5" t="s">
        <v>4</v>
      </c>
    </row>
    <row r="6" spans="1:12" x14ac:dyDescent="0.25">
      <c r="A6" s="15" t="s">
        <v>599</v>
      </c>
      <c r="B6" s="15" t="s">
        <v>535</v>
      </c>
      <c r="C6" s="15" t="s">
        <v>142</v>
      </c>
      <c r="D6" s="23">
        <v>10</v>
      </c>
      <c r="E6" s="23">
        <v>12</v>
      </c>
      <c r="F6" s="28">
        <v>25</v>
      </c>
      <c r="G6" s="23">
        <v>19</v>
      </c>
      <c r="H6" s="23">
        <v>10</v>
      </c>
      <c r="I6" s="23">
        <v>14</v>
      </c>
      <c r="K6" t="s">
        <v>53</v>
      </c>
      <c r="L6" t="s">
        <v>54</v>
      </c>
    </row>
    <row r="7" spans="1:12" x14ac:dyDescent="0.25">
      <c r="A7" s="15" t="s">
        <v>600</v>
      </c>
      <c r="B7" s="15" t="s">
        <v>469</v>
      </c>
      <c r="C7" s="15" t="s">
        <v>558</v>
      </c>
      <c r="D7" s="24">
        <v>7</v>
      </c>
      <c r="E7" s="24">
        <v>9</v>
      </c>
      <c r="F7" s="23">
        <v>17</v>
      </c>
      <c r="G7" s="23">
        <v>15</v>
      </c>
      <c r="H7" s="23">
        <v>10</v>
      </c>
      <c r="I7" s="23">
        <v>15</v>
      </c>
      <c r="K7" t="s">
        <v>56</v>
      </c>
      <c r="L7" t="s">
        <v>5</v>
      </c>
    </row>
    <row r="8" spans="1:12" x14ac:dyDescent="0.25">
      <c r="A8" s="15" t="s">
        <v>601</v>
      </c>
      <c r="B8" s="15" t="s">
        <v>557</v>
      </c>
      <c r="C8" s="15" t="s">
        <v>558</v>
      </c>
      <c r="D8" s="23">
        <v>11</v>
      </c>
      <c r="E8" s="23">
        <v>12</v>
      </c>
      <c r="F8" s="23">
        <v>17</v>
      </c>
      <c r="G8" s="23">
        <v>15</v>
      </c>
      <c r="H8" s="24">
        <v>8</v>
      </c>
      <c r="I8" s="23">
        <v>22</v>
      </c>
    </row>
    <row r="9" spans="1:12" ht="15.75" x14ac:dyDescent="0.25">
      <c r="C9" s="33" t="s">
        <v>569</v>
      </c>
      <c r="D9" s="31">
        <f>AVERAGE(D2:D8)</f>
        <v>10.142857142857142</v>
      </c>
      <c r="E9" s="31">
        <f t="shared" ref="E9:I9" si="0">AVERAGE(E2:E8)</f>
        <v>11</v>
      </c>
      <c r="F9" s="31">
        <f t="shared" si="0"/>
        <v>18</v>
      </c>
      <c r="G9" s="31">
        <f t="shared" si="0"/>
        <v>16.428571428571427</v>
      </c>
      <c r="H9" s="31">
        <f t="shared" si="0"/>
        <v>9.7142857142857135</v>
      </c>
      <c r="I9" s="31">
        <f t="shared" si="0"/>
        <v>16.857142857142858</v>
      </c>
      <c r="L9" s="19" t="s">
        <v>58</v>
      </c>
    </row>
    <row r="10" spans="1:12" x14ac:dyDescent="0.25">
      <c r="L10" s="20" t="s">
        <v>59</v>
      </c>
    </row>
    <row r="11" spans="1:12" x14ac:dyDescent="0.25">
      <c r="L11" s="21" t="s">
        <v>60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L11"/>
  <sheetViews>
    <sheetView workbookViewId="0">
      <selection activeCell="A2" sqref="A2:A7"/>
    </sheetView>
  </sheetViews>
  <sheetFormatPr defaultRowHeight="15" x14ac:dyDescent="0.25"/>
  <cols>
    <col min="1" max="1" width="20.140625" bestFit="1" customWidth="1"/>
    <col min="2" max="2" width="18.42578125" bestFit="1" customWidth="1"/>
    <col min="3" max="3" width="17.140625" customWidth="1"/>
    <col min="4" max="5" width="9.5703125" bestFit="1" customWidth="1"/>
    <col min="6" max="6" width="12.140625" bestFit="1" customWidth="1"/>
    <col min="7" max="7" width="11.5703125" bestFit="1" customWidth="1"/>
    <col min="8" max="8" width="9.5703125" bestFit="1" customWidth="1"/>
    <col min="9" max="9" width="10.5703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7" t="s">
        <v>606</v>
      </c>
      <c r="B2" s="7" t="s">
        <v>146</v>
      </c>
      <c r="C2" s="7" t="s">
        <v>147</v>
      </c>
      <c r="D2" s="24">
        <v>5</v>
      </c>
      <c r="E2" s="24">
        <v>8</v>
      </c>
      <c r="F2" s="24">
        <v>6</v>
      </c>
      <c r="G2" s="24">
        <v>5</v>
      </c>
      <c r="H2" s="23">
        <v>21</v>
      </c>
      <c r="I2" s="23">
        <v>14</v>
      </c>
      <c r="K2" t="s">
        <v>45</v>
      </c>
      <c r="L2" t="s">
        <v>1</v>
      </c>
    </row>
    <row r="3" spans="1:12" x14ac:dyDescent="0.25">
      <c r="A3" s="7" t="s">
        <v>605</v>
      </c>
      <c r="B3" s="7" t="s">
        <v>263</v>
      </c>
      <c r="C3" s="7" t="s">
        <v>147</v>
      </c>
      <c r="D3" s="24">
        <v>7</v>
      </c>
      <c r="E3" s="24">
        <v>9</v>
      </c>
      <c r="F3" s="23">
        <v>15</v>
      </c>
      <c r="G3" s="24">
        <v>7</v>
      </c>
      <c r="H3" s="24">
        <v>6</v>
      </c>
      <c r="I3" s="23">
        <v>17</v>
      </c>
      <c r="K3" t="s">
        <v>47</v>
      </c>
      <c r="L3" t="s">
        <v>2</v>
      </c>
    </row>
    <row r="4" spans="1:12" x14ac:dyDescent="0.25">
      <c r="A4" s="7" t="s">
        <v>596</v>
      </c>
      <c r="B4" s="7" t="s">
        <v>147</v>
      </c>
      <c r="C4" s="7" t="s">
        <v>147</v>
      </c>
      <c r="D4" s="23">
        <v>10</v>
      </c>
      <c r="E4" s="24">
        <v>8</v>
      </c>
      <c r="F4" s="24">
        <v>5</v>
      </c>
      <c r="G4" s="24">
        <v>9</v>
      </c>
      <c r="H4" s="24">
        <v>9</v>
      </c>
      <c r="I4" s="24">
        <v>9</v>
      </c>
      <c r="K4" t="s">
        <v>49</v>
      </c>
      <c r="L4" t="s">
        <v>3</v>
      </c>
    </row>
    <row r="5" spans="1:12" x14ac:dyDescent="0.25">
      <c r="A5" s="7" t="s">
        <v>604</v>
      </c>
      <c r="B5" s="7" t="s">
        <v>126</v>
      </c>
      <c r="C5" s="7" t="s">
        <v>393</v>
      </c>
      <c r="D5" s="24">
        <v>5</v>
      </c>
      <c r="E5" s="24">
        <v>5</v>
      </c>
      <c r="F5" s="24">
        <v>5</v>
      </c>
      <c r="G5" s="24">
        <v>6</v>
      </c>
      <c r="H5" s="24">
        <v>5</v>
      </c>
      <c r="I5" s="24">
        <v>5</v>
      </c>
      <c r="K5" t="s">
        <v>51</v>
      </c>
      <c r="L5" t="s">
        <v>4</v>
      </c>
    </row>
    <row r="6" spans="1:12" x14ac:dyDescent="0.25">
      <c r="A6" s="7" t="s">
        <v>603</v>
      </c>
      <c r="B6" s="7" t="s">
        <v>67</v>
      </c>
      <c r="C6" s="7" t="s">
        <v>393</v>
      </c>
      <c r="D6" s="24">
        <v>7</v>
      </c>
      <c r="E6" s="24">
        <v>6</v>
      </c>
      <c r="F6" s="24">
        <v>8</v>
      </c>
      <c r="G6" s="23">
        <v>14</v>
      </c>
      <c r="H6" s="24">
        <v>7</v>
      </c>
      <c r="I6" s="24">
        <v>9</v>
      </c>
      <c r="K6" t="s">
        <v>53</v>
      </c>
      <c r="L6" t="s">
        <v>54</v>
      </c>
    </row>
    <row r="7" spans="1:12" x14ac:dyDescent="0.25">
      <c r="A7" s="7" t="s">
        <v>602</v>
      </c>
      <c r="B7" s="7" t="s">
        <v>512</v>
      </c>
      <c r="C7" s="7" t="s">
        <v>393</v>
      </c>
      <c r="D7" s="24">
        <v>7</v>
      </c>
      <c r="E7" s="23">
        <v>10</v>
      </c>
      <c r="F7" s="23">
        <v>12</v>
      </c>
      <c r="G7" s="23">
        <v>10</v>
      </c>
      <c r="H7" s="24">
        <v>7</v>
      </c>
      <c r="I7" s="28">
        <v>27</v>
      </c>
      <c r="K7" t="s">
        <v>56</v>
      </c>
      <c r="L7" t="s">
        <v>5</v>
      </c>
    </row>
    <row r="8" spans="1:12" ht="15.75" x14ac:dyDescent="0.25">
      <c r="A8" s="2"/>
      <c r="B8" s="2"/>
      <c r="C8" s="33" t="s">
        <v>569</v>
      </c>
      <c r="D8" s="31">
        <f>AVERAGE(D2:D7)</f>
        <v>6.833333333333333</v>
      </c>
      <c r="E8" s="31">
        <f t="shared" ref="E8:I8" si="0">AVERAGE(E2:E7)</f>
        <v>7.666666666666667</v>
      </c>
      <c r="F8" s="31">
        <f t="shared" si="0"/>
        <v>8.5</v>
      </c>
      <c r="G8" s="31">
        <f t="shared" si="0"/>
        <v>8.5</v>
      </c>
      <c r="H8" s="31">
        <f t="shared" si="0"/>
        <v>9.1666666666666661</v>
      </c>
      <c r="I8" s="31">
        <f t="shared" si="0"/>
        <v>13.5</v>
      </c>
    </row>
    <row r="9" spans="1:12" x14ac:dyDescent="0.25">
      <c r="L9" s="19" t="s">
        <v>58</v>
      </c>
    </row>
    <row r="10" spans="1:12" x14ac:dyDescent="0.25">
      <c r="L10" s="20" t="s">
        <v>59</v>
      </c>
    </row>
    <row r="11" spans="1:12" x14ac:dyDescent="0.25">
      <c r="L11" s="21" t="s">
        <v>60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L19"/>
  <sheetViews>
    <sheetView workbookViewId="0">
      <selection activeCell="A18" sqref="A18"/>
    </sheetView>
  </sheetViews>
  <sheetFormatPr defaultRowHeight="15" x14ac:dyDescent="0.25"/>
  <cols>
    <col min="1" max="1" width="25.85546875" bestFit="1" customWidth="1"/>
    <col min="2" max="2" width="19.42578125" bestFit="1" customWidth="1"/>
    <col min="3" max="3" width="30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607</v>
      </c>
      <c r="B2" s="15" t="s">
        <v>430</v>
      </c>
      <c r="C2" s="15" t="s">
        <v>431</v>
      </c>
      <c r="D2" s="23">
        <v>11</v>
      </c>
      <c r="E2" s="23">
        <v>17</v>
      </c>
      <c r="F2" s="23">
        <v>23</v>
      </c>
      <c r="G2" s="28">
        <v>29</v>
      </c>
      <c r="H2" s="28">
        <v>29</v>
      </c>
      <c r="I2" s="28">
        <v>29</v>
      </c>
      <c r="K2" t="s">
        <v>45</v>
      </c>
      <c r="L2" t="s">
        <v>1</v>
      </c>
    </row>
    <row r="3" spans="1:12" x14ac:dyDescent="0.25">
      <c r="A3" s="15" t="s">
        <v>608</v>
      </c>
      <c r="B3" s="15" t="s">
        <v>338</v>
      </c>
      <c r="C3" s="15" t="s">
        <v>431</v>
      </c>
      <c r="D3" s="24">
        <v>5</v>
      </c>
      <c r="E3" s="24">
        <v>5</v>
      </c>
      <c r="F3" s="24">
        <v>6</v>
      </c>
      <c r="G3" s="24">
        <v>6</v>
      </c>
      <c r="H3" s="24">
        <v>5</v>
      </c>
      <c r="I3" s="24">
        <v>5</v>
      </c>
      <c r="K3" t="s">
        <v>47</v>
      </c>
      <c r="L3" t="s">
        <v>2</v>
      </c>
    </row>
    <row r="4" spans="1:12" x14ac:dyDescent="0.25">
      <c r="A4" s="15" t="s">
        <v>609</v>
      </c>
      <c r="B4" s="15" t="s">
        <v>404</v>
      </c>
      <c r="C4" s="15" t="s">
        <v>405</v>
      </c>
      <c r="D4" s="23">
        <v>16</v>
      </c>
      <c r="E4" s="23">
        <v>16</v>
      </c>
      <c r="F4" s="23">
        <v>17</v>
      </c>
      <c r="G4" s="23">
        <v>17</v>
      </c>
      <c r="H4" s="23">
        <v>12</v>
      </c>
      <c r="I4" s="23">
        <v>24</v>
      </c>
      <c r="K4" t="s">
        <v>49</v>
      </c>
      <c r="L4" t="s">
        <v>3</v>
      </c>
    </row>
    <row r="5" spans="1:12" x14ac:dyDescent="0.25">
      <c r="A5" s="15" t="s">
        <v>610</v>
      </c>
      <c r="B5" s="15" t="s">
        <v>444</v>
      </c>
      <c r="C5" s="15" t="s">
        <v>405</v>
      </c>
      <c r="D5" s="24">
        <v>5</v>
      </c>
      <c r="E5" s="24">
        <v>6</v>
      </c>
      <c r="F5" s="23">
        <v>11</v>
      </c>
      <c r="G5" s="24">
        <v>8</v>
      </c>
      <c r="H5" s="24">
        <v>5</v>
      </c>
      <c r="I5" s="23">
        <v>21</v>
      </c>
      <c r="K5" t="s">
        <v>51</v>
      </c>
      <c r="L5" t="s">
        <v>4</v>
      </c>
    </row>
    <row r="6" spans="1:12" x14ac:dyDescent="0.25">
      <c r="A6" s="15" t="s">
        <v>611</v>
      </c>
      <c r="B6" s="15" t="s">
        <v>211</v>
      </c>
      <c r="C6" s="15" t="s">
        <v>405</v>
      </c>
      <c r="D6" s="23">
        <v>12</v>
      </c>
      <c r="E6" s="24">
        <v>8</v>
      </c>
      <c r="F6" s="24">
        <v>8</v>
      </c>
      <c r="G6" s="23">
        <v>12</v>
      </c>
      <c r="H6" s="24">
        <v>9</v>
      </c>
      <c r="I6" s="24">
        <v>7</v>
      </c>
      <c r="K6" t="s">
        <v>53</v>
      </c>
      <c r="L6" t="s">
        <v>54</v>
      </c>
    </row>
    <row r="7" spans="1:12" x14ac:dyDescent="0.25">
      <c r="A7" s="15" t="s">
        <v>612</v>
      </c>
      <c r="B7" s="15" t="s">
        <v>474</v>
      </c>
      <c r="C7" s="15" t="s">
        <v>405</v>
      </c>
      <c r="D7" s="24">
        <v>7</v>
      </c>
      <c r="E7" s="24">
        <v>8</v>
      </c>
      <c r="F7" s="24">
        <v>8</v>
      </c>
      <c r="G7" s="23">
        <v>11</v>
      </c>
      <c r="H7" s="23">
        <v>11</v>
      </c>
      <c r="I7" s="24">
        <v>5</v>
      </c>
      <c r="K7" t="s">
        <v>56</v>
      </c>
      <c r="L7" t="s">
        <v>5</v>
      </c>
    </row>
    <row r="8" spans="1:12" x14ac:dyDescent="0.25">
      <c r="A8" s="15" t="s">
        <v>613</v>
      </c>
      <c r="B8" s="15" t="s">
        <v>482</v>
      </c>
      <c r="C8" s="15" t="s">
        <v>405</v>
      </c>
      <c r="D8" s="24">
        <v>5</v>
      </c>
      <c r="E8" s="24">
        <v>8</v>
      </c>
      <c r="F8" s="23">
        <v>15</v>
      </c>
      <c r="G8" s="23">
        <v>10</v>
      </c>
      <c r="H8" s="24">
        <v>5</v>
      </c>
      <c r="I8" s="23">
        <v>23</v>
      </c>
    </row>
    <row r="9" spans="1:12" x14ac:dyDescent="0.25">
      <c r="A9" s="15" t="s">
        <v>614</v>
      </c>
      <c r="B9" s="15" t="s">
        <v>540</v>
      </c>
      <c r="C9" s="15" t="s">
        <v>405</v>
      </c>
      <c r="D9" s="23">
        <v>13</v>
      </c>
      <c r="E9" s="23">
        <v>15</v>
      </c>
      <c r="F9" s="23">
        <v>12</v>
      </c>
      <c r="G9" s="23">
        <v>13</v>
      </c>
      <c r="H9" s="23">
        <v>11</v>
      </c>
      <c r="I9" s="23">
        <v>13</v>
      </c>
      <c r="L9" s="19" t="s">
        <v>58</v>
      </c>
    </row>
    <row r="10" spans="1:12" x14ac:dyDescent="0.25">
      <c r="A10" s="15" t="s">
        <v>615</v>
      </c>
      <c r="B10" s="15" t="s">
        <v>545</v>
      </c>
      <c r="C10" s="15" t="s">
        <v>405</v>
      </c>
      <c r="D10" s="23">
        <v>11</v>
      </c>
      <c r="E10" s="23">
        <v>11</v>
      </c>
      <c r="F10" s="23">
        <v>18</v>
      </c>
      <c r="G10" s="23">
        <v>15</v>
      </c>
      <c r="H10" s="23">
        <v>15</v>
      </c>
      <c r="I10" s="28">
        <v>25</v>
      </c>
      <c r="L10" s="20" t="s">
        <v>59</v>
      </c>
    </row>
    <row r="11" spans="1:12" x14ac:dyDescent="0.25">
      <c r="A11" s="15" t="s">
        <v>616</v>
      </c>
      <c r="B11" s="15" t="s">
        <v>211</v>
      </c>
      <c r="C11" s="15" t="s">
        <v>405</v>
      </c>
      <c r="D11" s="24">
        <v>6</v>
      </c>
      <c r="E11" s="24">
        <v>8</v>
      </c>
      <c r="F11" s="24">
        <v>9</v>
      </c>
      <c r="G11" s="24">
        <v>8</v>
      </c>
      <c r="H11" s="24">
        <v>8</v>
      </c>
      <c r="I11" s="23">
        <v>22</v>
      </c>
      <c r="L11" s="21" t="s">
        <v>60</v>
      </c>
    </row>
    <row r="12" spans="1:12" x14ac:dyDescent="0.25">
      <c r="A12" s="15" t="s">
        <v>617</v>
      </c>
      <c r="B12" s="15" t="s">
        <v>65</v>
      </c>
      <c r="C12" s="15" t="s">
        <v>316</v>
      </c>
      <c r="D12" s="23">
        <v>11</v>
      </c>
      <c r="E12" s="23">
        <v>18</v>
      </c>
      <c r="F12" s="23">
        <v>17</v>
      </c>
      <c r="G12" s="23">
        <v>13</v>
      </c>
      <c r="H12" s="23">
        <v>10</v>
      </c>
      <c r="I12" s="28">
        <v>26</v>
      </c>
    </row>
    <row r="13" spans="1:12" x14ac:dyDescent="0.25">
      <c r="A13" s="15" t="s">
        <v>618</v>
      </c>
      <c r="B13" s="15" t="s">
        <v>211</v>
      </c>
      <c r="C13" s="15" t="s">
        <v>239</v>
      </c>
      <c r="D13" s="23">
        <v>10</v>
      </c>
      <c r="E13" s="23">
        <v>19</v>
      </c>
      <c r="F13" s="23">
        <v>22</v>
      </c>
      <c r="G13" s="23">
        <v>18</v>
      </c>
      <c r="H13" s="24">
        <v>6</v>
      </c>
      <c r="I13" s="23">
        <v>10</v>
      </c>
    </row>
    <row r="14" spans="1:12" x14ac:dyDescent="0.25">
      <c r="A14" s="15" t="s">
        <v>619</v>
      </c>
      <c r="B14" s="15" t="s">
        <v>202</v>
      </c>
      <c r="C14" s="15" t="s">
        <v>203</v>
      </c>
      <c r="D14" s="24">
        <v>8</v>
      </c>
      <c r="E14" s="24">
        <v>9</v>
      </c>
      <c r="F14" s="24">
        <v>8</v>
      </c>
      <c r="G14" s="24">
        <v>9</v>
      </c>
      <c r="H14" s="23">
        <v>10</v>
      </c>
      <c r="I14" s="23">
        <v>10</v>
      </c>
    </row>
    <row r="15" spans="1:12" x14ac:dyDescent="0.25">
      <c r="A15" s="15" t="s">
        <v>620</v>
      </c>
      <c r="B15" s="15" t="s">
        <v>211</v>
      </c>
      <c r="C15" s="15" t="s">
        <v>203</v>
      </c>
      <c r="D15" s="24">
        <v>5</v>
      </c>
      <c r="E15" s="24">
        <v>5</v>
      </c>
      <c r="F15" s="24">
        <v>5</v>
      </c>
      <c r="G15" s="24">
        <v>6</v>
      </c>
      <c r="H15" s="24">
        <v>5</v>
      </c>
      <c r="I15" s="24">
        <v>5</v>
      </c>
    </row>
    <row r="16" spans="1:12" x14ac:dyDescent="0.25">
      <c r="A16" s="15" t="s">
        <v>621</v>
      </c>
      <c r="B16" s="15" t="s">
        <v>169</v>
      </c>
      <c r="C16" s="15" t="s">
        <v>422</v>
      </c>
      <c r="D16" s="23">
        <v>13</v>
      </c>
      <c r="E16" s="24">
        <v>8</v>
      </c>
      <c r="F16" s="23">
        <v>11</v>
      </c>
      <c r="G16" s="23">
        <v>14</v>
      </c>
      <c r="H16" s="23">
        <v>14</v>
      </c>
      <c r="I16" s="23">
        <v>15</v>
      </c>
    </row>
    <row r="17" spans="1:9" x14ac:dyDescent="0.25">
      <c r="A17" s="15" t="s">
        <v>622</v>
      </c>
      <c r="B17" s="15" t="s">
        <v>211</v>
      </c>
      <c r="C17" s="15" t="s">
        <v>422</v>
      </c>
      <c r="D17" s="24">
        <v>6</v>
      </c>
      <c r="E17" s="24">
        <v>6</v>
      </c>
      <c r="F17" s="23">
        <v>12</v>
      </c>
      <c r="G17" s="23">
        <v>13</v>
      </c>
      <c r="H17" s="24">
        <v>5</v>
      </c>
      <c r="I17" s="24">
        <v>5</v>
      </c>
    </row>
    <row r="18" spans="1:9" x14ac:dyDescent="0.25">
      <c r="A18" s="15" t="s">
        <v>623</v>
      </c>
      <c r="B18" s="15" t="s">
        <v>211</v>
      </c>
      <c r="C18" s="15" t="s">
        <v>594</v>
      </c>
      <c r="D18" s="24">
        <v>7</v>
      </c>
      <c r="E18" s="24">
        <v>5</v>
      </c>
      <c r="F18" s="23">
        <v>11</v>
      </c>
      <c r="G18" s="23">
        <v>10</v>
      </c>
      <c r="H18" s="24">
        <v>5</v>
      </c>
      <c r="I18" s="24">
        <v>6</v>
      </c>
    </row>
    <row r="19" spans="1:9" x14ac:dyDescent="0.25">
      <c r="D19">
        <f>AVERAGE(D2:D18)</f>
        <v>8.882352941176471</v>
      </c>
      <c r="E19">
        <f t="shared" ref="E19:I19" si="0">AVERAGE(E2:E18)</f>
        <v>10.117647058823529</v>
      </c>
      <c r="F19">
        <f t="shared" si="0"/>
        <v>12.529411764705882</v>
      </c>
      <c r="G19">
        <f t="shared" si="0"/>
        <v>12.470588235294118</v>
      </c>
      <c r="H19">
        <f t="shared" si="0"/>
        <v>9.7058823529411757</v>
      </c>
      <c r="I19">
        <f t="shared" si="0"/>
        <v>14.764705882352942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L11"/>
  <sheetViews>
    <sheetView workbookViewId="0">
      <selection activeCell="A2" sqref="A2:A7"/>
    </sheetView>
  </sheetViews>
  <sheetFormatPr defaultRowHeight="15" x14ac:dyDescent="0.25"/>
  <cols>
    <col min="1" max="1" width="23.28515625" bestFit="1" customWidth="1"/>
    <col min="2" max="2" width="19" bestFit="1" customWidth="1"/>
    <col min="3" max="3" width="13.28515625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624</v>
      </c>
      <c r="B2" s="15" t="s">
        <v>552</v>
      </c>
      <c r="C2" s="15" t="s">
        <v>571</v>
      </c>
      <c r="D2" s="23">
        <v>13</v>
      </c>
      <c r="E2" s="23">
        <v>14</v>
      </c>
      <c r="F2" s="23">
        <v>20</v>
      </c>
      <c r="G2" s="23">
        <v>21</v>
      </c>
      <c r="H2" s="23">
        <v>17</v>
      </c>
      <c r="I2" s="23">
        <v>16</v>
      </c>
      <c r="K2" t="s">
        <v>45</v>
      </c>
      <c r="L2" t="s">
        <v>1</v>
      </c>
    </row>
    <row r="3" spans="1:12" x14ac:dyDescent="0.25">
      <c r="A3" s="15" t="s">
        <v>625</v>
      </c>
      <c r="B3" s="15" t="s">
        <v>183</v>
      </c>
      <c r="C3" s="15" t="s">
        <v>571</v>
      </c>
      <c r="D3" s="23">
        <v>12</v>
      </c>
      <c r="E3" s="23">
        <v>12</v>
      </c>
      <c r="F3" s="23">
        <v>10</v>
      </c>
      <c r="G3" s="23">
        <v>17</v>
      </c>
      <c r="H3" s="23">
        <v>19</v>
      </c>
      <c r="I3" s="23">
        <v>11</v>
      </c>
      <c r="K3" t="s">
        <v>47</v>
      </c>
      <c r="L3" t="s">
        <v>2</v>
      </c>
    </row>
    <row r="4" spans="1:12" x14ac:dyDescent="0.25">
      <c r="A4" s="15" t="s">
        <v>626</v>
      </c>
      <c r="B4" s="15" t="s">
        <v>230</v>
      </c>
      <c r="C4" s="15" t="s">
        <v>231</v>
      </c>
      <c r="D4" s="24">
        <v>7</v>
      </c>
      <c r="E4" s="23">
        <v>10</v>
      </c>
      <c r="F4" s="23">
        <v>16</v>
      </c>
      <c r="G4" s="23">
        <v>15</v>
      </c>
      <c r="H4" s="23">
        <v>21</v>
      </c>
      <c r="I4" s="23">
        <v>14</v>
      </c>
      <c r="K4" t="s">
        <v>49</v>
      </c>
      <c r="L4" t="s">
        <v>3</v>
      </c>
    </row>
    <row r="5" spans="1:12" x14ac:dyDescent="0.25">
      <c r="A5" s="15" t="s">
        <v>627</v>
      </c>
      <c r="B5" s="15" t="s">
        <v>183</v>
      </c>
      <c r="C5" s="15" t="s">
        <v>231</v>
      </c>
      <c r="D5" s="24">
        <v>5</v>
      </c>
      <c r="E5" s="24">
        <v>5</v>
      </c>
      <c r="F5" s="24">
        <v>8</v>
      </c>
      <c r="G5" s="24">
        <v>6</v>
      </c>
      <c r="H5" s="24">
        <v>6</v>
      </c>
      <c r="I5" s="24">
        <v>9</v>
      </c>
      <c r="K5" t="s">
        <v>51</v>
      </c>
      <c r="L5" t="s">
        <v>4</v>
      </c>
    </row>
    <row r="6" spans="1:12" x14ac:dyDescent="0.25">
      <c r="A6" s="15" t="s">
        <v>628</v>
      </c>
      <c r="B6" s="15" t="s">
        <v>211</v>
      </c>
      <c r="C6" s="15" t="s">
        <v>231</v>
      </c>
      <c r="D6" s="24">
        <v>8</v>
      </c>
      <c r="E6" s="24">
        <v>7</v>
      </c>
      <c r="F6" s="23">
        <v>12</v>
      </c>
      <c r="G6" s="23">
        <v>12</v>
      </c>
      <c r="H6" s="24">
        <v>7</v>
      </c>
      <c r="I6" s="24">
        <v>9</v>
      </c>
      <c r="K6" t="s">
        <v>53</v>
      </c>
      <c r="L6" t="s">
        <v>54</v>
      </c>
    </row>
    <row r="7" spans="1:12" x14ac:dyDescent="0.25">
      <c r="A7" s="15" t="s">
        <v>629</v>
      </c>
      <c r="B7" s="15" t="s">
        <v>211</v>
      </c>
      <c r="C7" s="15" t="s">
        <v>231</v>
      </c>
      <c r="D7" s="24">
        <v>6</v>
      </c>
      <c r="E7" s="24">
        <v>7</v>
      </c>
      <c r="F7" s="24">
        <v>8</v>
      </c>
      <c r="G7" s="24">
        <v>7</v>
      </c>
      <c r="H7" s="24">
        <v>6</v>
      </c>
      <c r="I7" s="24">
        <v>5</v>
      </c>
      <c r="K7" t="s">
        <v>56</v>
      </c>
      <c r="L7" t="s">
        <v>5</v>
      </c>
    </row>
    <row r="8" spans="1:12" x14ac:dyDescent="0.25">
      <c r="D8" s="2">
        <f>AVERAGE(D2:D7)</f>
        <v>8.5</v>
      </c>
      <c r="E8" s="2">
        <f t="shared" ref="E8:I8" si="0">AVERAGE(E2:E7)</f>
        <v>9.1666666666666661</v>
      </c>
      <c r="F8" s="2">
        <f t="shared" si="0"/>
        <v>12.333333333333334</v>
      </c>
      <c r="G8" s="2">
        <f t="shared" si="0"/>
        <v>13</v>
      </c>
      <c r="H8" s="2">
        <f t="shared" si="0"/>
        <v>12.666666666666666</v>
      </c>
      <c r="I8" s="2">
        <f t="shared" si="0"/>
        <v>10.666666666666666</v>
      </c>
    </row>
    <row r="9" spans="1:12" x14ac:dyDescent="0.25">
      <c r="L9" s="19" t="s">
        <v>58</v>
      </c>
    </row>
    <row r="10" spans="1:12" x14ac:dyDescent="0.25">
      <c r="L10" s="20" t="s">
        <v>59</v>
      </c>
    </row>
    <row r="11" spans="1:12" x14ac:dyDescent="0.25">
      <c r="L11" s="21" t="s">
        <v>60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L13"/>
  <sheetViews>
    <sheetView workbookViewId="0">
      <selection activeCell="A8" sqref="A8"/>
    </sheetView>
  </sheetViews>
  <sheetFormatPr defaultRowHeight="15" x14ac:dyDescent="0.25"/>
  <cols>
    <col min="1" max="1" width="15.5703125" customWidth="1"/>
    <col min="2" max="2" width="19.7109375" bestFit="1" customWidth="1"/>
    <col min="3" max="3" width="13.28515625" bestFit="1" customWidth="1"/>
    <col min="6" max="7" width="12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630</v>
      </c>
      <c r="B2" s="15" t="s">
        <v>178</v>
      </c>
      <c r="C2" s="15" t="s">
        <v>414</v>
      </c>
      <c r="D2" s="23">
        <v>16</v>
      </c>
      <c r="E2" s="23">
        <v>12</v>
      </c>
      <c r="F2" s="23">
        <v>16</v>
      </c>
      <c r="G2" s="23">
        <v>18</v>
      </c>
      <c r="H2" s="23">
        <v>12</v>
      </c>
      <c r="I2" s="28">
        <v>27</v>
      </c>
      <c r="K2" t="s">
        <v>45</v>
      </c>
      <c r="L2" t="s">
        <v>1</v>
      </c>
    </row>
    <row r="3" spans="1:12" x14ac:dyDescent="0.25">
      <c r="A3" s="15" t="s">
        <v>631</v>
      </c>
      <c r="B3" s="15" t="s">
        <v>413</v>
      </c>
      <c r="C3" s="15" t="s">
        <v>414</v>
      </c>
      <c r="D3" s="24">
        <v>7</v>
      </c>
      <c r="E3" s="24">
        <v>8</v>
      </c>
      <c r="F3" s="23">
        <v>11</v>
      </c>
      <c r="G3" s="23">
        <v>13</v>
      </c>
      <c r="H3" s="24">
        <v>8</v>
      </c>
      <c r="I3" s="23">
        <v>24</v>
      </c>
      <c r="K3" t="s">
        <v>47</v>
      </c>
      <c r="L3" t="s">
        <v>2</v>
      </c>
    </row>
    <row r="4" spans="1:12" x14ac:dyDescent="0.25">
      <c r="A4" s="15" t="s">
        <v>632</v>
      </c>
      <c r="B4" s="15" t="s">
        <v>453</v>
      </c>
      <c r="C4" s="15" t="s">
        <v>414</v>
      </c>
      <c r="D4" s="24">
        <v>5</v>
      </c>
      <c r="E4" s="24">
        <v>5</v>
      </c>
      <c r="F4" s="24">
        <v>5</v>
      </c>
      <c r="G4" s="24">
        <v>5</v>
      </c>
      <c r="H4" s="24">
        <v>5</v>
      </c>
      <c r="I4" s="24">
        <v>5</v>
      </c>
      <c r="K4" t="s">
        <v>49</v>
      </c>
      <c r="L4" t="s">
        <v>3</v>
      </c>
    </row>
    <row r="5" spans="1:12" x14ac:dyDescent="0.25">
      <c r="A5" s="15" t="s">
        <v>633</v>
      </c>
      <c r="B5" s="15" t="s">
        <v>178</v>
      </c>
      <c r="C5" s="15" t="s">
        <v>414</v>
      </c>
      <c r="D5" s="24">
        <v>5</v>
      </c>
      <c r="E5" s="24">
        <v>8</v>
      </c>
      <c r="F5" s="24">
        <v>6</v>
      </c>
      <c r="G5" s="24">
        <v>8</v>
      </c>
      <c r="H5" s="23">
        <v>15</v>
      </c>
      <c r="I5" s="24">
        <v>7</v>
      </c>
      <c r="K5" t="s">
        <v>51</v>
      </c>
      <c r="L5" t="s">
        <v>4</v>
      </c>
    </row>
    <row r="6" spans="1:12" x14ac:dyDescent="0.25">
      <c r="A6" s="15" t="s">
        <v>634</v>
      </c>
      <c r="B6" s="15" t="s">
        <v>268</v>
      </c>
      <c r="C6" s="15" t="s">
        <v>414</v>
      </c>
      <c r="D6" s="23">
        <v>17</v>
      </c>
      <c r="E6" s="23">
        <v>18</v>
      </c>
      <c r="F6" s="23">
        <v>18</v>
      </c>
      <c r="G6" s="23">
        <v>17</v>
      </c>
      <c r="H6" s="23">
        <v>23</v>
      </c>
      <c r="I6" s="23">
        <v>22</v>
      </c>
      <c r="K6" t="s">
        <v>53</v>
      </c>
      <c r="L6" t="s">
        <v>54</v>
      </c>
    </row>
    <row r="7" spans="1:12" x14ac:dyDescent="0.25">
      <c r="A7" s="15" t="s">
        <v>710</v>
      </c>
      <c r="B7" s="15" t="s">
        <v>283</v>
      </c>
      <c r="C7" s="15" t="s">
        <v>414</v>
      </c>
      <c r="D7" s="24">
        <v>6</v>
      </c>
      <c r="E7" s="23">
        <v>14</v>
      </c>
      <c r="F7" s="23">
        <v>17</v>
      </c>
      <c r="G7" s="23">
        <v>15</v>
      </c>
      <c r="H7" s="23">
        <v>13</v>
      </c>
      <c r="I7" s="23">
        <v>15</v>
      </c>
      <c r="K7" t="s">
        <v>56</v>
      </c>
      <c r="L7" t="s">
        <v>5</v>
      </c>
    </row>
    <row r="8" spans="1:12" x14ac:dyDescent="0.25">
      <c r="A8" s="15" t="s">
        <v>635</v>
      </c>
      <c r="B8" s="15" t="s">
        <v>516</v>
      </c>
      <c r="C8" s="15" t="s">
        <v>414</v>
      </c>
      <c r="D8" s="23">
        <v>12</v>
      </c>
      <c r="E8" s="23">
        <v>10</v>
      </c>
      <c r="F8" s="23">
        <v>12</v>
      </c>
      <c r="G8" s="23">
        <v>14</v>
      </c>
      <c r="H8" s="23">
        <v>16</v>
      </c>
      <c r="I8" s="23">
        <v>15</v>
      </c>
    </row>
    <row r="9" spans="1:12" x14ac:dyDescent="0.25">
      <c r="A9" s="15" t="s">
        <v>636</v>
      </c>
      <c r="B9" s="15" t="s">
        <v>520</v>
      </c>
      <c r="C9" s="15" t="s">
        <v>414</v>
      </c>
      <c r="D9" s="23">
        <v>17</v>
      </c>
      <c r="E9" s="23">
        <v>8</v>
      </c>
      <c r="F9" s="23">
        <v>14</v>
      </c>
      <c r="G9" s="23">
        <v>19</v>
      </c>
      <c r="H9" s="23">
        <v>12</v>
      </c>
      <c r="I9" s="28">
        <v>33</v>
      </c>
      <c r="L9" s="19" t="s">
        <v>58</v>
      </c>
    </row>
    <row r="10" spans="1:12" x14ac:dyDescent="0.25">
      <c r="A10" s="15" t="s">
        <v>637</v>
      </c>
      <c r="B10" s="15" t="s">
        <v>370</v>
      </c>
      <c r="C10" s="15" t="s">
        <v>414</v>
      </c>
      <c r="D10" s="24">
        <v>8</v>
      </c>
      <c r="E10" s="24">
        <v>9</v>
      </c>
      <c r="F10" s="24">
        <v>9</v>
      </c>
      <c r="G10" s="24">
        <v>7</v>
      </c>
      <c r="H10" s="24">
        <v>6</v>
      </c>
      <c r="I10" s="23">
        <v>12</v>
      </c>
      <c r="L10" s="20" t="s">
        <v>59</v>
      </c>
    </row>
    <row r="11" spans="1:12" x14ac:dyDescent="0.25">
      <c r="A11" s="15" t="s">
        <v>638</v>
      </c>
      <c r="B11" s="15" t="s">
        <v>409</v>
      </c>
      <c r="C11" s="15" t="s">
        <v>414</v>
      </c>
      <c r="D11" s="24">
        <v>8</v>
      </c>
      <c r="E11" s="24">
        <v>7</v>
      </c>
      <c r="F11" s="24">
        <v>7</v>
      </c>
      <c r="G11" s="24">
        <v>5</v>
      </c>
      <c r="H11" s="24">
        <v>7</v>
      </c>
      <c r="I11" s="24">
        <v>6</v>
      </c>
      <c r="L11" s="21" t="s">
        <v>60</v>
      </c>
    </row>
    <row r="12" spans="1:12" x14ac:dyDescent="0.25">
      <c r="A12" s="15" t="s">
        <v>639</v>
      </c>
      <c r="B12" s="15" t="s">
        <v>342</v>
      </c>
      <c r="C12" s="15" t="s">
        <v>343</v>
      </c>
      <c r="D12" s="23">
        <v>10</v>
      </c>
      <c r="E12" s="24">
        <v>7</v>
      </c>
      <c r="F12" s="23">
        <v>11</v>
      </c>
      <c r="G12" s="23">
        <v>12</v>
      </c>
      <c r="H12" s="24">
        <v>9</v>
      </c>
      <c r="I12" s="24">
        <v>9</v>
      </c>
    </row>
    <row r="13" spans="1:12" x14ac:dyDescent="0.25">
      <c r="D13" s="2">
        <f>AVERAGE(D2:D12)</f>
        <v>10.090909090909092</v>
      </c>
      <c r="E13" s="2">
        <f t="shared" ref="E13:H13" si="0">AVERAGE(E2:E12)</f>
        <v>9.6363636363636367</v>
      </c>
      <c r="F13" s="2">
        <f t="shared" si="0"/>
        <v>11.454545454545455</v>
      </c>
      <c r="G13" s="2">
        <f t="shared" si="0"/>
        <v>12.090909090909092</v>
      </c>
      <c r="H13" s="2">
        <f t="shared" si="0"/>
        <v>11.454545454545455</v>
      </c>
      <c r="I13" s="2">
        <f>AVERAGE(I2:I12)</f>
        <v>15.909090909090908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L37"/>
  <sheetViews>
    <sheetView workbookViewId="0">
      <selection activeCell="A2" sqref="A2:A35"/>
    </sheetView>
  </sheetViews>
  <sheetFormatPr defaultRowHeight="15" x14ac:dyDescent="0.25"/>
  <cols>
    <col min="1" max="1" width="11.85546875" customWidth="1"/>
    <col min="2" max="2" width="22.5703125" bestFit="1" customWidth="1"/>
    <col min="3" max="3" width="17" bestFit="1" customWidth="1"/>
    <col min="6" max="6" width="12" bestFit="1" customWidth="1"/>
    <col min="7" max="7" width="11.42578125" bestFit="1" customWidth="1"/>
    <col min="9" max="9" width="8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640</v>
      </c>
      <c r="B2" s="15" t="s">
        <v>136</v>
      </c>
      <c r="C2" s="15" t="s">
        <v>137</v>
      </c>
      <c r="D2" s="25">
        <v>7</v>
      </c>
      <c r="E2" s="25">
        <v>9</v>
      </c>
      <c r="F2" s="22">
        <v>23</v>
      </c>
      <c r="G2" s="22">
        <v>20</v>
      </c>
      <c r="H2" s="25">
        <v>7</v>
      </c>
      <c r="I2" s="29">
        <v>32</v>
      </c>
      <c r="K2" t="s">
        <v>45</v>
      </c>
      <c r="L2" t="s">
        <v>1</v>
      </c>
    </row>
    <row r="3" spans="1:12" x14ac:dyDescent="0.25">
      <c r="A3" s="15" t="s">
        <v>641</v>
      </c>
      <c r="B3" s="15" t="s">
        <v>165</v>
      </c>
      <c r="C3" s="15" t="s">
        <v>137</v>
      </c>
      <c r="D3" s="22">
        <v>14</v>
      </c>
      <c r="E3" s="22">
        <v>12</v>
      </c>
      <c r="F3" s="22">
        <v>13</v>
      </c>
      <c r="G3" s="22">
        <v>12</v>
      </c>
      <c r="H3" s="22">
        <v>15</v>
      </c>
      <c r="I3" s="22">
        <v>10</v>
      </c>
      <c r="K3" t="s">
        <v>47</v>
      </c>
      <c r="L3" t="s">
        <v>2</v>
      </c>
    </row>
    <row r="4" spans="1:12" x14ac:dyDescent="0.25">
      <c r="A4" s="15" t="s">
        <v>642</v>
      </c>
      <c r="B4" s="15" t="s">
        <v>174</v>
      </c>
      <c r="C4" s="15" t="s">
        <v>137</v>
      </c>
      <c r="D4" s="24">
        <v>6</v>
      </c>
      <c r="E4" s="24">
        <v>6</v>
      </c>
      <c r="F4" s="23">
        <v>14</v>
      </c>
      <c r="G4" s="23">
        <v>19</v>
      </c>
      <c r="H4" s="24">
        <v>8</v>
      </c>
      <c r="I4" s="23">
        <v>16</v>
      </c>
      <c r="K4" t="s">
        <v>49</v>
      </c>
      <c r="L4" t="s">
        <v>3</v>
      </c>
    </row>
    <row r="5" spans="1:12" x14ac:dyDescent="0.25">
      <c r="A5" s="15" t="s">
        <v>643</v>
      </c>
      <c r="B5" s="15" t="s">
        <v>174</v>
      </c>
      <c r="C5" s="15" t="s">
        <v>137</v>
      </c>
      <c r="D5" s="23">
        <v>14</v>
      </c>
      <c r="E5" s="23">
        <v>11</v>
      </c>
      <c r="F5" s="28">
        <v>27</v>
      </c>
      <c r="G5" s="23">
        <v>13</v>
      </c>
      <c r="H5" s="28">
        <v>27</v>
      </c>
      <c r="I5" s="28">
        <v>32</v>
      </c>
      <c r="K5" t="s">
        <v>51</v>
      </c>
      <c r="L5" t="s">
        <v>4</v>
      </c>
    </row>
    <row r="6" spans="1:12" x14ac:dyDescent="0.25">
      <c r="A6" s="15" t="s">
        <v>644</v>
      </c>
      <c r="B6" s="15" t="s">
        <v>198</v>
      </c>
      <c r="C6" s="15" t="s">
        <v>137</v>
      </c>
      <c r="D6" s="24">
        <v>9</v>
      </c>
      <c r="E6" s="23">
        <v>11</v>
      </c>
      <c r="F6" s="23">
        <v>12</v>
      </c>
      <c r="G6" s="24">
        <v>8</v>
      </c>
      <c r="H6" s="23">
        <v>12</v>
      </c>
      <c r="I6" s="23">
        <v>20</v>
      </c>
      <c r="K6" t="s">
        <v>53</v>
      </c>
      <c r="L6" t="s">
        <v>54</v>
      </c>
    </row>
    <row r="7" spans="1:12" x14ac:dyDescent="0.25">
      <c r="A7" s="15" t="s">
        <v>645</v>
      </c>
      <c r="B7" s="15" t="s">
        <v>207</v>
      </c>
      <c r="C7" s="15" t="s">
        <v>137</v>
      </c>
      <c r="D7" s="24">
        <v>9</v>
      </c>
      <c r="E7" s="24">
        <v>9</v>
      </c>
      <c r="F7" s="23">
        <v>16</v>
      </c>
      <c r="G7" s="23">
        <v>14</v>
      </c>
      <c r="H7" s="23">
        <v>10</v>
      </c>
      <c r="I7" s="23">
        <v>15</v>
      </c>
      <c r="K7" t="s">
        <v>56</v>
      </c>
      <c r="L7" t="s">
        <v>5</v>
      </c>
    </row>
    <row r="8" spans="1:12" x14ac:dyDescent="0.25">
      <c r="A8" s="15" t="s">
        <v>646</v>
      </c>
      <c r="B8" s="15" t="s">
        <v>216</v>
      </c>
      <c r="C8" s="15" t="s">
        <v>137</v>
      </c>
      <c r="D8" s="24">
        <v>6</v>
      </c>
      <c r="E8" s="24">
        <v>7</v>
      </c>
      <c r="F8" s="23">
        <v>18</v>
      </c>
      <c r="G8" s="23">
        <v>17</v>
      </c>
      <c r="H8" s="24">
        <v>9</v>
      </c>
      <c r="I8" s="23">
        <v>10</v>
      </c>
    </row>
    <row r="9" spans="1:12" x14ac:dyDescent="0.25">
      <c r="A9" s="15" t="s">
        <v>647</v>
      </c>
      <c r="B9" s="15" t="s">
        <v>174</v>
      </c>
      <c r="C9" s="15" t="s">
        <v>137</v>
      </c>
      <c r="D9" s="24">
        <v>7</v>
      </c>
      <c r="E9" s="24">
        <v>9</v>
      </c>
      <c r="F9" s="23">
        <v>16</v>
      </c>
      <c r="G9" s="23">
        <v>14</v>
      </c>
      <c r="H9" s="23">
        <v>17</v>
      </c>
      <c r="I9" s="23">
        <v>19</v>
      </c>
      <c r="L9" s="19" t="s">
        <v>58</v>
      </c>
    </row>
    <row r="10" spans="1:12" x14ac:dyDescent="0.25">
      <c r="A10" s="15" t="s">
        <v>648</v>
      </c>
      <c r="B10" s="15" t="s">
        <v>226</v>
      </c>
      <c r="C10" s="15" t="s">
        <v>137</v>
      </c>
      <c r="D10" s="24">
        <v>7</v>
      </c>
      <c r="E10" s="24">
        <v>8</v>
      </c>
      <c r="F10" s="23">
        <v>13</v>
      </c>
      <c r="G10" s="24">
        <v>8</v>
      </c>
      <c r="H10" s="24">
        <v>8</v>
      </c>
      <c r="I10" s="24">
        <v>8</v>
      </c>
      <c r="L10" s="20" t="s">
        <v>59</v>
      </c>
    </row>
    <row r="11" spans="1:12" x14ac:dyDescent="0.25">
      <c r="A11" s="15" t="s">
        <v>649</v>
      </c>
      <c r="B11" s="15" t="s">
        <v>235</v>
      </c>
      <c r="C11" s="15" t="s">
        <v>137</v>
      </c>
      <c r="D11" s="23">
        <v>21</v>
      </c>
      <c r="E11" s="23">
        <v>16</v>
      </c>
      <c r="F11" s="23">
        <v>22</v>
      </c>
      <c r="G11" s="23">
        <v>23</v>
      </c>
      <c r="H11" s="23">
        <v>24</v>
      </c>
      <c r="I11" s="23">
        <v>17</v>
      </c>
      <c r="L11" s="21" t="s">
        <v>60</v>
      </c>
    </row>
    <row r="12" spans="1:12" x14ac:dyDescent="0.25">
      <c r="A12" s="15" t="s">
        <v>650</v>
      </c>
      <c r="B12" s="15" t="s">
        <v>248</v>
      </c>
      <c r="C12" s="15" t="s">
        <v>137</v>
      </c>
      <c r="D12" s="24">
        <v>6</v>
      </c>
      <c r="E12" s="24">
        <v>7</v>
      </c>
      <c r="F12" s="24">
        <v>8</v>
      </c>
      <c r="G12" s="24">
        <v>9</v>
      </c>
      <c r="H12" s="24">
        <v>8</v>
      </c>
      <c r="I12" s="24">
        <v>6</v>
      </c>
    </row>
    <row r="13" spans="1:12" x14ac:dyDescent="0.25">
      <c r="A13" s="15" t="s">
        <v>604</v>
      </c>
      <c r="B13" s="15" t="s">
        <v>256</v>
      </c>
      <c r="C13" s="15" t="s">
        <v>137</v>
      </c>
      <c r="D13" s="23">
        <v>15</v>
      </c>
      <c r="E13" s="23">
        <v>12</v>
      </c>
      <c r="F13" s="23">
        <v>13</v>
      </c>
      <c r="G13" s="23">
        <v>13</v>
      </c>
      <c r="H13" s="23">
        <v>16</v>
      </c>
      <c r="I13" s="23">
        <v>14</v>
      </c>
    </row>
    <row r="14" spans="1:12" x14ac:dyDescent="0.25">
      <c r="A14" s="15" t="s">
        <v>651</v>
      </c>
      <c r="B14" s="15" t="s">
        <v>174</v>
      </c>
      <c r="C14" s="15" t="s">
        <v>137</v>
      </c>
      <c r="D14" s="23">
        <v>18</v>
      </c>
      <c r="E14" s="23">
        <v>20</v>
      </c>
      <c r="F14" s="23">
        <v>22</v>
      </c>
      <c r="G14" s="28">
        <v>29</v>
      </c>
      <c r="H14" s="28">
        <v>25</v>
      </c>
      <c r="I14" s="23">
        <v>13</v>
      </c>
    </row>
    <row r="15" spans="1:12" x14ac:dyDescent="0.25">
      <c r="A15" s="15" t="s">
        <v>652</v>
      </c>
      <c r="B15" s="15" t="s">
        <v>256</v>
      </c>
      <c r="C15" s="15" t="s">
        <v>137</v>
      </c>
      <c r="D15" s="23">
        <v>21</v>
      </c>
      <c r="E15" s="23">
        <v>18</v>
      </c>
      <c r="F15" s="23">
        <v>13</v>
      </c>
      <c r="G15" s="23">
        <v>16</v>
      </c>
      <c r="H15" s="23">
        <v>22</v>
      </c>
      <c r="I15" s="23">
        <v>22</v>
      </c>
    </row>
    <row r="16" spans="1:12" x14ac:dyDescent="0.25">
      <c r="A16" s="15" t="s">
        <v>653</v>
      </c>
      <c r="B16" s="15" t="s">
        <v>291</v>
      </c>
      <c r="C16" s="15" t="s">
        <v>137</v>
      </c>
      <c r="D16" s="24">
        <v>5</v>
      </c>
      <c r="E16" s="24">
        <v>5</v>
      </c>
      <c r="F16" s="24">
        <v>5</v>
      </c>
      <c r="G16" s="24">
        <v>5</v>
      </c>
      <c r="H16" s="24">
        <v>5</v>
      </c>
      <c r="I16" s="24">
        <v>5</v>
      </c>
    </row>
    <row r="17" spans="1:9" x14ac:dyDescent="0.25">
      <c r="A17" s="15" t="s">
        <v>654</v>
      </c>
      <c r="B17" s="15" t="s">
        <v>174</v>
      </c>
      <c r="C17" s="15" t="s">
        <v>137</v>
      </c>
      <c r="D17" s="24">
        <v>6</v>
      </c>
      <c r="E17" s="24">
        <v>6</v>
      </c>
      <c r="F17" s="24">
        <v>5</v>
      </c>
      <c r="G17" s="24">
        <v>7</v>
      </c>
      <c r="H17" s="24">
        <v>5</v>
      </c>
      <c r="I17" s="24">
        <v>6</v>
      </c>
    </row>
    <row r="18" spans="1:9" x14ac:dyDescent="0.25">
      <c r="A18" s="15" t="s">
        <v>655</v>
      </c>
      <c r="B18" s="15" t="s">
        <v>302</v>
      </c>
      <c r="C18" s="15" t="s">
        <v>137</v>
      </c>
      <c r="D18" s="23">
        <v>11</v>
      </c>
      <c r="E18" s="23">
        <v>16</v>
      </c>
      <c r="F18" s="23">
        <v>16</v>
      </c>
      <c r="G18" s="24">
        <v>9</v>
      </c>
      <c r="H18" s="24">
        <v>5</v>
      </c>
      <c r="I18" s="24">
        <v>9</v>
      </c>
    </row>
    <row r="19" spans="1:9" x14ac:dyDescent="0.25">
      <c r="A19" s="15" t="s">
        <v>656</v>
      </c>
      <c r="B19" s="15" t="s">
        <v>256</v>
      </c>
      <c r="C19" s="15" t="s">
        <v>137</v>
      </c>
      <c r="D19" s="23">
        <v>22</v>
      </c>
      <c r="E19" s="23">
        <v>20</v>
      </c>
      <c r="F19" s="23">
        <v>23</v>
      </c>
      <c r="G19" s="23">
        <v>24</v>
      </c>
      <c r="H19" s="23">
        <v>21</v>
      </c>
      <c r="I19" s="23">
        <v>10</v>
      </c>
    </row>
    <row r="20" spans="1:9" x14ac:dyDescent="0.25">
      <c r="A20" s="15" t="s">
        <v>657</v>
      </c>
      <c r="B20" s="15" t="s">
        <v>174</v>
      </c>
      <c r="C20" s="15" t="s">
        <v>137</v>
      </c>
      <c r="D20" s="24">
        <v>5</v>
      </c>
      <c r="E20" s="24">
        <v>5</v>
      </c>
      <c r="F20" s="24">
        <v>8</v>
      </c>
      <c r="G20" s="23">
        <v>11</v>
      </c>
      <c r="H20" s="24">
        <v>5</v>
      </c>
      <c r="I20" s="23">
        <v>13</v>
      </c>
    </row>
    <row r="21" spans="1:9" x14ac:dyDescent="0.25">
      <c r="A21" s="15" t="s">
        <v>658</v>
      </c>
      <c r="B21" s="15" t="s">
        <v>347</v>
      </c>
      <c r="C21" s="15" t="s">
        <v>348</v>
      </c>
      <c r="D21" s="24">
        <v>8</v>
      </c>
      <c r="E21" s="24">
        <v>6</v>
      </c>
      <c r="F21" s="24">
        <v>8</v>
      </c>
      <c r="G21" s="23">
        <v>10</v>
      </c>
      <c r="H21" s="24">
        <v>6</v>
      </c>
      <c r="I21" s="24">
        <v>8</v>
      </c>
    </row>
    <row r="22" spans="1:9" x14ac:dyDescent="0.25">
      <c r="A22" s="15" t="s">
        <v>659</v>
      </c>
      <c r="B22" s="15" t="s">
        <v>174</v>
      </c>
      <c r="C22" s="15" t="s">
        <v>137</v>
      </c>
      <c r="D22" s="23">
        <v>11</v>
      </c>
      <c r="E22" s="23">
        <v>11</v>
      </c>
      <c r="F22" s="23">
        <v>10</v>
      </c>
      <c r="G22" s="23">
        <v>11</v>
      </c>
      <c r="H22" s="23">
        <v>13</v>
      </c>
      <c r="I22" s="24">
        <v>8</v>
      </c>
    </row>
    <row r="23" spans="1:9" x14ac:dyDescent="0.25">
      <c r="A23" s="15" t="s">
        <v>629</v>
      </c>
      <c r="B23" s="15" t="s">
        <v>256</v>
      </c>
      <c r="C23" s="15" t="s">
        <v>137</v>
      </c>
      <c r="D23" s="24">
        <v>9</v>
      </c>
      <c r="E23" s="23">
        <v>7</v>
      </c>
      <c r="F23" s="23">
        <v>13</v>
      </c>
      <c r="G23" s="23">
        <v>12</v>
      </c>
      <c r="H23" s="23">
        <v>12</v>
      </c>
      <c r="I23" s="23">
        <v>18</v>
      </c>
    </row>
    <row r="24" spans="1:9" x14ac:dyDescent="0.25">
      <c r="A24" s="15" t="s">
        <v>660</v>
      </c>
      <c r="B24" s="15" t="s">
        <v>256</v>
      </c>
      <c r="C24" s="15" t="s">
        <v>137</v>
      </c>
      <c r="D24" s="24">
        <v>6</v>
      </c>
      <c r="E24" s="23">
        <v>7</v>
      </c>
      <c r="F24" s="23">
        <v>12</v>
      </c>
      <c r="G24" s="23">
        <v>11</v>
      </c>
      <c r="H24" s="24">
        <v>9</v>
      </c>
      <c r="I24" s="24">
        <v>6</v>
      </c>
    </row>
    <row r="25" spans="1:9" x14ac:dyDescent="0.25">
      <c r="A25" s="15" t="s">
        <v>661</v>
      </c>
      <c r="B25" s="15" t="s">
        <v>174</v>
      </c>
      <c r="C25" s="15" t="s">
        <v>137</v>
      </c>
      <c r="D25" s="24">
        <v>5</v>
      </c>
      <c r="E25" s="24">
        <v>5</v>
      </c>
      <c r="F25" s="24">
        <v>9</v>
      </c>
      <c r="G25" s="24">
        <v>6</v>
      </c>
      <c r="H25" s="24">
        <v>6</v>
      </c>
      <c r="I25" s="24">
        <v>6</v>
      </c>
    </row>
    <row r="26" spans="1:9" x14ac:dyDescent="0.25">
      <c r="A26" s="15" t="s">
        <v>662</v>
      </c>
      <c r="B26" s="15" t="s">
        <v>397</v>
      </c>
      <c r="C26" s="15" t="s">
        <v>137</v>
      </c>
      <c r="D26" s="23">
        <v>19</v>
      </c>
      <c r="E26" s="23">
        <v>19</v>
      </c>
      <c r="F26" s="26">
        <v>27</v>
      </c>
      <c r="G26" s="23">
        <v>22</v>
      </c>
      <c r="H26" s="23">
        <v>21</v>
      </c>
      <c r="I26" s="23">
        <v>15</v>
      </c>
    </row>
    <row r="27" spans="1:9" x14ac:dyDescent="0.25">
      <c r="A27" s="15" t="s">
        <v>663</v>
      </c>
      <c r="B27" s="15" t="s">
        <v>174</v>
      </c>
      <c r="C27" s="15" t="s">
        <v>137</v>
      </c>
      <c r="D27" s="23">
        <v>10</v>
      </c>
      <c r="E27" s="23">
        <v>12</v>
      </c>
      <c r="F27" s="23">
        <v>17</v>
      </c>
      <c r="G27" s="23">
        <v>18</v>
      </c>
      <c r="H27" s="23">
        <v>15</v>
      </c>
      <c r="I27" s="23">
        <v>20</v>
      </c>
    </row>
    <row r="28" spans="1:9" x14ac:dyDescent="0.25">
      <c r="A28" s="15" t="s">
        <v>664</v>
      </c>
      <c r="B28" s="15" t="s">
        <v>256</v>
      </c>
      <c r="C28" s="15" t="s">
        <v>137</v>
      </c>
      <c r="D28" s="24">
        <v>9</v>
      </c>
      <c r="E28" s="24">
        <v>9</v>
      </c>
      <c r="F28" s="24">
        <v>9</v>
      </c>
      <c r="G28" s="23">
        <v>11</v>
      </c>
      <c r="H28" s="23">
        <v>14</v>
      </c>
      <c r="I28" s="23">
        <v>10</v>
      </c>
    </row>
    <row r="29" spans="1:9" x14ac:dyDescent="0.25">
      <c r="A29" s="15" t="s">
        <v>665</v>
      </c>
      <c r="B29" s="15" t="s">
        <v>174</v>
      </c>
      <c r="C29" s="15" t="s">
        <v>137</v>
      </c>
      <c r="D29" s="23">
        <v>14</v>
      </c>
      <c r="E29" s="23">
        <v>15</v>
      </c>
      <c r="F29" s="24">
        <v>9</v>
      </c>
      <c r="G29" s="23">
        <v>17</v>
      </c>
      <c r="H29" s="23">
        <v>20</v>
      </c>
      <c r="I29" s="23">
        <v>19</v>
      </c>
    </row>
    <row r="30" spans="1:9" x14ac:dyDescent="0.25">
      <c r="A30" s="15" t="s">
        <v>613</v>
      </c>
      <c r="B30" s="15" t="s">
        <v>499</v>
      </c>
      <c r="C30" s="15" t="s">
        <v>137</v>
      </c>
      <c r="D30" s="23">
        <v>11</v>
      </c>
      <c r="E30" s="23">
        <v>10</v>
      </c>
      <c r="F30" s="23">
        <v>14</v>
      </c>
      <c r="G30" s="23">
        <v>15</v>
      </c>
      <c r="H30" s="23">
        <v>12</v>
      </c>
      <c r="I30" s="23">
        <v>19</v>
      </c>
    </row>
    <row r="31" spans="1:9" x14ac:dyDescent="0.25">
      <c r="A31" s="15" t="s">
        <v>666</v>
      </c>
      <c r="B31" s="15" t="s">
        <v>174</v>
      </c>
      <c r="C31" s="15" t="s">
        <v>137</v>
      </c>
      <c r="D31" s="23">
        <v>15</v>
      </c>
      <c r="E31" s="24">
        <v>6</v>
      </c>
      <c r="F31" s="23">
        <v>18</v>
      </c>
      <c r="G31" s="23">
        <v>16</v>
      </c>
      <c r="H31" s="23">
        <v>21</v>
      </c>
      <c r="I31" s="23">
        <v>19</v>
      </c>
    </row>
    <row r="32" spans="1:9" x14ac:dyDescent="0.25">
      <c r="A32" s="15" t="s">
        <v>667</v>
      </c>
      <c r="B32" s="15" t="s">
        <v>116</v>
      </c>
      <c r="C32" s="15" t="s">
        <v>137</v>
      </c>
      <c r="D32" s="23">
        <v>10</v>
      </c>
      <c r="E32" s="23">
        <v>14</v>
      </c>
      <c r="F32" s="24">
        <v>5</v>
      </c>
      <c r="G32" s="23">
        <v>11</v>
      </c>
      <c r="H32" s="24">
        <v>6</v>
      </c>
      <c r="I32" s="23">
        <v>12</v>
      </c>
    </row>
    <row r="33" spans="1:9" x14ac:dyDescent="0.25">
      <c r="A33" s="15" t="s">
        <v>668</v>
      </c>
      <c r="B33" s="15" t="s">
        <v>562</v>
      </c>
      <c r="C33" s="15" t="s">
        <v>137</v>
      </c>
      <c r="D33" s="23">
        <v>15</v>
      </c>
      <c r="E33" s="23">
        <v>12</v>
      </c>
      <c r="F33" s="23">
        <v>17</v>
      </c>
      <c r="G33" s="23">
        <v>17</v>
      </c>
      <c r="H33" s="23">
        <v>14</v>
      </c>
      <c r="I33" s="23">
        <v>22</v>
      </c>
    </row>
    <row r="34" spans="1:9" x14ac:dyDescent="0.25">
      <c r="A34" s="15" t="s">
        <v>669</v>
      </c>
      <c r="B34" s="15" t="s">
        <v>121</v>
      </c>
      <c r="C34" s="15" t="s">
        <v>122</v>
      </c>
      <c r="D34" s="22">
        <v>12</v>
      </c>
      <c r="E34" s="22">
        <v>14</v>
      </c>
      <c r="F34" s="22">
        <v>18</v>
      </c>
      <c r="G34" s="22">
        <v>21</v>
      </c>
      <c r="H34" s="22">
        <v>20</v>
      </c>
      <c r="I34" s="22">
        <v>15</v>
      </c>
    </row>
    <row r="35" spans="1:9" x14ac:dyDescent="0.25">
      <c r="A35" s="15" t="s">
        <v>670</v>
      </c>
      <c r="B35" s="15" t="s">
        <v>122</v>
      </c>
      <c r="C35" s="15" t="s">
        <v>122</v>
      </c>
      <c r="D35" s="23">
        <v>17</v>
      </c>
      <c r="E35" s="23">
        <v>18</v>
      </c>
      <c r="F35" s="23">
        <v>18</v>
      </c>
      <c r="G35" s="23">
        <v>15</v>
      </c>
      <c r="H35" s="26">
        <v>25</v>
      </c>
      <c r="I35" s="23">
        <v>16</v>
      </c>
    </row>
    <row r="36" spans="1:9" x14ac:dyDescent="0.25">
      <c r="A36" s="15" t="s">
        <v>671</v>
      </c>
      <c r="B36" s="15" t="s">
        <v>178</v>
      </c>
      <c r="C36" s="15" t="s">
        <v>448</v>
      </c>
      <c r="D36" s="24">
        <v>5</v>
      </c>
      <c r="E36" s="24">
        <v>5</v>
      </c>
      <c r="F36" s="24">
        <v>5</v>
      </c>
      <c r="G36" s="23">
        <v>10</v>
      </c>
      <c r="H36" s="24">
        <v>5</v>
      </c>
      <c r="I36" s="24">
        <v>8</v>
      </c>
    </row>
    <row r="37" spans="1:9" x14ac:dyDescent="0.25">
      <c r="D37" s="2">
        <f>AVERAGE(D2:D36)</f>
        <v>11</v>
      </c>
      <c r="E37" s="2">
        <f t="shared" ref="E37:I37" si="0">AVERAGE(E2:E36)</f>
        <v>10.771428571428572</v>
      </c>
      <c r="F37" s="2">
        <f t="shared" si="0"/>
        <v>14.171428571428571</v>
      </c>
      <c r="G37" s="2">
        <f t="shared" si="0"/>
        <v>14.114285714285714</v>
      </c>
      <c r="H37" s="2">
        <f t="shared" si="0"/>
        <v>13.371428571428572</v>
      </c>
      <c r="I37" s="2">
        <f t="shared" si="0"/>
        <v>14.228571428571428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43"/>
  <sheetViews>
    <sheetView workbookViewId="0">
      <selection activeCell="A2" sqref="A2:A10"/>
    </sheetView>
  </sheetViews>
  <sheetFormatPr defaultRowHeight="15" x14ac:dyDescent="0.25"/>
  <cols>
    <col min="1" max="1" width="11.28515625" customWidth="1"/>
    <col min="2" max="2" width="22.5703125" bestFit="1" customWidth="1"/>
    <col min="3" max="3" width="13.28515625" bestFit="1" customWidth="1"/>
    <col min="6" max="6" width="12" bestFit="1" customWidth="1"/>
    <col min="7" max="7" width="11.42578125" bestFit="1" customWidth="1"/>
    <col min="11" max="11" width="12" bestFit="1" customWidth="1"/>
    <col min="12" max="12" width="33.42578125" bestFit="1" customWidth="1"/>
    <col min="13" max="13" width="17.7109375" bestFit="1" customWidth="1"/>
  </cols>
  <sheetData>
    <row r="1" spans="1:13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  <c r="M1" t="s">
        <v>572</v>
      </c>
    </row>
    <row r="2" spans="1:13" x14ac:dyDescent="0.25">
      <c r="A2" s="15" t="s">
        <v>672</v>
      </c>
      <c r="B2" s="15" t="s">
        <v>160</v>
      </c>
      <c r="C2" s="15" t="s">
        <v>161</v>
      </c>
      <c r="D2" s="22">
        <v>14</v>
      </c>
      <c r="E2" s="22">
        <v>15</v>
      </c>
      <c r="F2" s="22">
        <v>13</v>
      </c>
      <c r="G2" s="22">
        <v>14</v>
      </c>
      <c r="H2" s="22">
        <v>12</v>
      </c>
      <c r="I2" s="22">
        <v>20</v>
      </c>
      <c r="K2" t="s">
        <v>45</v>
      </c>
      <c r="L2" t="s">
        <v>1</v>
      </c>
      <c r="M2" s="6" t="s">
        <v>46</v>
      </c>
    </row>
    <row r="3" spans="1:13" x14ac:dyDescent="0.25">
      <c r="A3" s="15" t="s">
        <v>673</v>
      </c>
      <c r="B3" s="15" t="s">
        <v>276</v>
      </c>
      <c r="C3" s="15" t="s">
        <v>161</v>
      </c>
      <c r="D3" s="23">
        <v>11</v>
      </c>
      <c r="E3" s="23">
        <v>12</v>
      </c>
      <c r="F3" s="23">
        <v>19</v>
      </c>
      <c r="G3" s="26">
        <v>25</v>
      </c>
      <c r="H3" s="24">
        <v>9</v>
      </c>
      <c r="I3" s="26">
        <v>29</v>
      </c>
      <c r="K3" t="s">
        <v>47</v>
      </c>
      <c r="L3" t="s">
        <v>2</v>
      </c>
      <c r="M3" s="6" t="s">
        <v>48</v>
      </c>
    </row>
    <row r="4" spans="1:13" x14ac:dyDescent="0.25">
      <c r="A4" s="15" t="s">
        <v>674</v>
      </c>
      <c r="B4" s="15" t="s">
        <v>324</v>
      </c>
      <c r="C4" s="15" t="s">
        <v>161</v>
      </c>
      <c r="D4" s="23">
        <v>12</v>
      </c>
      <c r="E4" s="24">
        <v>6</v>
      </c>
      <c r="F4" s="24">
        <v>7</v>
      </c>
      <c r="G4" s="23">
        <v>10</v>
      </c>
      <c r="H4" s="24">
        <v>5</v>
      </c>
      <c r="I4" s="23">
        <v>10</v>
      </c>
      <c r="K4" t="s">
        <v>49</v>
      </c>
      <c r="L4" t="s">
        <v>3</v>
      </c>
      <c r="M4" s="6" t="s">
        <v>50</v>
      </c>
    </row>
    <row r="5" spans="1:13" x14ac:dyDescent="0.25">
      <c r="A5" s="15" t="s">
        <v>675</v>
      </c>
      <c r="B5" s="15" t="s">
        <v>126</v>
      </c>
      <c r="C5" s="15" t="s">
        <v>161</v>
      </c>
      <c r="D5" s="22">
        <v>18</v>
      </c>
      <c r="E5" s="22">
        <v>16</v>
      </c>
      <c r="F5" s="22">
        <v>20</v>
      </c>
      <c r="G5" s="22">
        <v>19</v>
      </c>
      <c r="H5" s="22">
        <v>21</v>
      </c>
      <c r="I5" s="22">
        <v>17</v>
      </c>
      <c r="K5" t="s">
        <v>51</v>
      </c>
      <c r="L5" t="s">
        <v>4</v>
      </c>
      <c r="M5" s="6" t="s">
        <v>52</v>
      </c>
    </row>
    <row r="6" spans="1:13" x14ac:dyDescent="0.25">
      <c r="A6" s="15" t="s">
        <v>676</v>
      </c>
      <c r="B6" s="15" t="s">
        <v>156</v>
      </c>
      <c r="C6" s="15" t="s">
        <v>161</v>
      </c>
      <c r="D6" s="22">
        <v>11</v>
      </c>
      <c r="E6" s="22">
        <v>23</v>
      </c>
      <c r="F6" s="27">
        <v>31</v>
      </c>
      <c r="G6" s="22">
        <v>18</v>
      </c>
      <c r="H6" s="25">
        <v>5</v>
      </c>
      <c r="I6" s="27">
        <v>31</v>
      </c>
      <c r="K6" t="s">
        <v>53</v>
      </c>
      <c r="L6" t="s">
        <v>54</v>
      </c>
      <c r="M6" s="6" t="s">
        <v>55</v>
      </c>
    </row>
    <row r="7" spans="1:13" x14ac:dyDescent="0.25">
      <c r="A7" s="15" t="s">
        <v>677</v>
      </c>
      <c r="B7" s="15" t="s">
        <v>384</v>
      </c>
      <c r="C7" s="15" t="s">
        <v>161</v>
      </c>
      <c r="D7" s="24">
        <v>5</v>
      </c>
      <c r="E7" s="24">
        <v>6</v>
      </c>
      <c r="F7" s="23">
        <v>12</v>
      </c>
      <c r="G7" s="24">
        <v>9</v>
      </c>
      <c r="H7" s="24">
        <v>6</v>
      </c>
      <c r="I7" s="24">
        <v>5</v>
      </c>
      <c r="K7" t="s">
        <v>56</v>
      </c>
      <c r="L7" t="s">
        <v>5</v>
      </c>
      <c r="M7" s="6" t="s">
        <v>57</v>
      </c>
    </row>
    <row r="8" spans="1:13" x14ac:dyDescent="0.25">
      <c r="A8" s="15" t="s">
        <v>678</v>
      </c>
      <c r="B8" s="15" t="s">
        <v>126</v>
      </c>
      <c r="C8" s="15" t="s">
        <v>161</v>
      </c>
      <c r="D8" s="23">
        <v>10</v>
      </c>
      <c r="E8" s="23">
        <v>19</v>
      </c>
      <c r="F8" s="23">
        <v>16</v>
      </c>
      <c r="G8" s="23">
        <v>11</v>
      </c>
      <c r="H8" s="23">
        <v>20</v>
      </c>
      <c r="I8" s="23">
        <v>17</v>
      </c>
    </row>
    <row r="9" spans="1:13" x14ac:dyDescent="0.25">
      <c r="A9" s="15" t="s">
        <v>679</v>
      </c>
      <c r="B9" s="15" t="s">
        <v>243</v>
      </c>
      <c r="C9" s="15" t="s">
        <v>161</v>
      </c>
      <c r="D9" s="23">
        <v>10</v>
      </c>
      <c r="E9" s="23">
        <v>13</v>
      </c>
      <c r="F9" s="23">
        <v>15</v>
      </c>
      <c r="G9" s="23">
        <v>17</v>
      </c>
      <c r="H9" s="23">
        <v>10</v>
      </c>
      <c r="I9" s="26">
        <v>27</v>
      </c>
      <c r="L9" s="19" t="s">
        <v>58</v>
      </c>
    </row>
    <row r="10" spans="1:13" x14ac:dyDescent="0.25">
      <c r="A10" s="15" t="s">
        <v>680</v>
      </c>
      <c r="B10" s="15" t="s">
        <v>126</v>
      </c>
      <c r="C10" s="15" t="s">
        <v>161</v>
      </c>
      <c r="D10" s="24">
        <v>5</v>
      </c>
      <c r="E10" s="24">
        <v>5</v>
      </c>
      <c r="F10" s="24">
        <v>5</v>
      </c>
      <c r="G10" s="24">
        <v>8</v>
      </c>
      <c r="H10" s="24">
        <v>5</v>
      </c>
      <c r="I10" s="23">
        <v>11</v>
      </c>
      <c r="L10" s="20" t="s">
        <v>59</v>
      </c>
    </row>
    <row r="11" spans="1:13" x14ac:dyDescent="0.25">
      <c r="D11">
        <f>AVERAGE(D2:D10)</f>
        <v>10.666666666666666</v>
      </c>
      <c r="E11">
        <f t="shared" ref="E11:I11" si="0">AVERAGE(E2:E10)</f>
        <v>12.777777777777779</v>
      </c>
      <c r="F11">
        <f t="shared" si="0"/>
        <v>15.333333333333334</v>
      </c>
      <c r="G11">
        <f t="shared" si="0"/>
        <v>14.555555555555555</v>
      </c>
      <c r="H11">
        <f t="shared" si="0"/>
        <v>10.333333333333334</v>
      </c>
      <c r="I11">
        <f t="shared" si="0"/>
        <v>18.555555555555557</v>
      </c>
      <c r="L11" s="21" t="s">
        <v>60</v>
      </c>
    </row>
    <row r="14" spans="1:13" x14ac:dyDescent="0.25">
      <c r="A14" s="2">
        <v>1</v>
      </c>
      <c r="B14" t="s">
        <v>15</v>
      </c>
    </row>
    <row r="15" spans="1:13" x14ac:dyDescent="0.25">
      <c r="A15" s="2">
        <v>2</v>
      </c>
      <c r="B15" t="s">
        <v>16</v>
      </c>
    </row>
    <row r="16" spans="1:13" x14ac:dyDescent="0.25">
      <c r="A16" s="2">
        <v>3</v>
      </c>
      <c r="B16" t="s">
        <v>17</v>
      </c>
    </row>
    <row r="17" spans="1:2" x14ac:dyDescent="0.25">
      <c r="A17" s="2">
        <v>4</v>
      </c>
      <c r="B17" t="s">
        <v>18</v>
      </c>
    </row>
    <row r="18" spans="1:2" x14ac:dyDescent="0.25">
      <c r="A18" s="2">
        <v>5</v>
      </c>
      <c r="B18" t="s">
        <v>27</v>
      </c>
    </row>
    <row r="19" spans="1:2" x14ac:dyDescent="0.25">
      <c r="A19" s="2">
        <v>6</v>
      </c>
      <c r="B19" t="s">
        <v>19</v>
      </c>
    </row>
    <row r="20" spans="1:2" x14ac:dyDescent="0.25">
      <c r="A20" s="2">
        <v>7</v>
      </c>
      <c r="B20" t="s">
        <v>20</v>
      </c>
    </row>
    <row r="21" spans="1:2" x14ac:dyDescent="0.25">
      <c r="A21" s="2">
        <v>8</v>
      </c>
      <c r="B21" t="s">
        <v>21</v>
      </c>
    </row>
    <row r="22" spans="1:2" x14ac:dyDescent="0.25">
      <c r="A22" s="2">
        <v>9</v>
      </c>
      <c r="B22" t="s">
        <v>22</v>
      </c>
    </row>
    <row r="23" spans="1:2" x14ac:dyDescent="0.25">
      <c r="A23" s="2">
        <v>10</v>
      </c>
      <c r="B23" t="s">
        <v>23</v>
      </c>
    </row>
    <row r="24" spans="1:2" x14ac:dyDescent="0.25">
      <c r="A24" s="2">
        <v>11</v>
      </c>
      <c r="B24" t="s">
        <v>24</v>
      </c>
    </row>
    <row r="25" spans="1:2" x14ac:dyDescent="0.25">
      <c r="A25" s="2">
        <v>12</v>
      </c>
      <c r="B25" t="s">
        <v>25</v>
      </c>
    </row>
    <row r="26" spans="1:2" x14ac:dyDescent="0.25">
      <c r="A26" s="2">
        <v>13</v>
      </c>
      <c r="B26" t="s">
        <v>26</v>
      </c>
    </row>
    <row r="27" spans="1:2" x14ac:dyDescent="0.25">
      <c r="A27" s="2">
        <v>14</v>
      </c>
      <c r="B27" t="s">
        <v>28</v>
      </c>
    </row>
    <row r="28" spans="1:2" x14ac:dyDescent="0.25">
      <c r="A28" s="2">
        <v>15</v>
      </c>
      <c r="B28" t="s">
        <v>29</v>
      </c>
    </row>
    <row r="29" spans="1:2" x14ac:dyDescent="0.25">
      <c r="A29" s="2">
        <v>16</v>
      </c>
      <c r="B29" t="s">
        <v>30</v>
      </c>
    </row>
    <row r="30" spans="1:2" x14ac:dyDescent="0.25">
      <c r="A30" s="2">
        <v>17</v>
      </c>
      <c r="B30" t="s">
        <v>31</v>
      </c>
    </row>
    <row r="31" spans="1:2" x14ac:dyDescent="0.25">
      <c r="A31" s="2">
        <v>18</v>
      </c>
      <c r="B31" t="s">
        <v>32</v>
      </c>
    </row>
    <row r="32" spans="1:2" x14ac:dyDescent="0.25">
      <c r="A32" s="2">
        <v>19</v>
      </c>
      <c r="B32" t="s">
        <v>33</v>
      </c>
    </row>
    <row r="33" spans="1:2" x14ac:dyDescent="0.25">
      <c r="A33" s="2">
        <v>20</v>
      </c>
      <c r="B33" t="s">
        <v>34</v>
      </c>
    </row>
    <row r="34" spans="1:2" x14ac:dyDescent="0.25">
      <c r="A34" s="2">
        <v>21</v>
      </c>
      <c r="B34" t="s">
        <v>35</v>
      </c>
    </row>
    <row r="35" spans="1:2" x14ac:dyDescent="0.25">
      <c r="A35" s="2">
        <v>22</v>
      </c>
      <c r="B35" t="s">
        <v>36</v>
      </c>
    </row>
    <row r="36" spans="1:2" x14ac:dyDescent="0.25">
      <c r="A36" s="2">
        <v>23</v>
      </c>
      <c r="B36" t="s">
        <v>37</v>
      </c>
    </row>
    <row r="37" spans="1:2" x14ac:dyDescent="0.25">
      <c r="A37" s="2">
        <v>24</v>
      </c>
      <c r="B37" t="s">
        <v>38</v>
      </c>
    </row>
    <row r="38" spans="1:2" x14ac:dyDescent="0.25">
      <c r="A38" s="2">
        <v>25</v>
      </c>
      <c r="B38" t="s">
        <v>39</v>
      </c>
    </row>
    <row r="39" spans="1:2" x14ac:dyDescent="0.25">
      <c r="A39" s="2">
        <v>26</v>
      </c>
      <c r="B39" t="s">
        <v>40</v>
      </c>
    </row>
    <row r="40" spans="1:2" x14ac:dyDescent="0.25">
      <c r="A40" s="2">
        <v>27</v>
      </c>
      <c r="B40" t="s">
        <v>41</v>
      </c>
    </row>
    <row r="41" spans="1:2" x14ac:dyDescent="0.25">
      <c r="A41" s="2">
        <v>28</v>
      </c>
      <c r="B41" t="s">
        <v>42</v>
      </c>
    </row>
    <row r="42" spans="1:2" x14ac:dyDescent="0.25">
      <c r="A42" s="2">
        <v>29</v>
      </c>
      <c r="B42" t="s">
        <v>43</v>
      </c>
    </row>
    <row r="43" spans="1:2" x14ac:dyDescent="0.25">
      <c r="A43" s="2">
        <v>30</v>
      </c>
      <c r="B43" t="s">
        <v>44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L16"/>
  <sheetViews>
    <sheetView workbookViewId="0">
      <selection activeCell="G23" sqref="G23"/>
    </sheetView>
  </sheetViews>
  <sheetFormatPr defaultRowHeight="15" x14ac:dyDescent="0.25"/>
  <cols>
    <col min="1" max="1" width="11.7109375" customWidth="1"/>
    <col min="2" max="2" width="12.7109375" bestFit="1" customWidth="1"/>
    <col min="3" max="3" width="13.28515625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681</v>
      </c>
      <c r="B2" s="15" t="s">
        <v>211</v>
      </c>
      <c r="C2" s="15" t="s">
        <v>212</v>
      </c>
      <c r="D2" s="24">
        <v>7</v>
      </c>
      <c r="E2" s="24">
        <v>8</v>
      </c>
      <c r="F2" s="23">
        <v>10</v>
      </c>
      <c r="G2" s="23">
        <v>13</v>
      </c>
      <c r="H2" s="23">
        <v>10</v>
      </c>
      <c r="I2" s="23">
        <v>16</v>
      </c>
      <c r="K2" t="s">
        <v>45</v>
      </c>
      <c r="L2" t="s">
        <v>1</v>
      </c>
    </row>
    <row r="3" spans="1:12" x14ac:dyDescent="0.25">
      <c r="A3" s="15" t="s">
        <v>682</v>
      </c>
      <c r="B3" s="15" t="s">
        <v>211</v>
      </c>
      <c r="C3" s="15" t="s">
        <v>212</v>
      </c>
      <c r="D3" s="24">
        <v>8</v>
      </c>
      <c r="E3" s="23">
        <v>10</v>
      </c>
      <c r="F3" s="23">
        <v>10</v>
      </c>
      <c r="G3" s="23">
        <v>12</v>
      </c>
      <c r="H3" s="23">
        <v>14</v>
      </c>
      <c r="I3" s="23">
        <v>11</v>
      </c>
      <c r="K3" t="s">
        <v>47</v>
      </c>
      <c r="L3" t="s">
        <v>2</v>
      </c>
    </row>
    <row r="4" spans="1:12" x14ac:dyDescent="0.25">
      <c r="A4" s="15" t="s">
        <v>683</v>
      </c>
      <c r="B4" s="15" t="s">
        <v>211</v>
      </c>
      <c r="C4" s="15" t="s">
        <v>212</v>
      </c>
      <c r="D4" s="24">
        <v>6</v>
      </c>
      <c r="E4" s="24">
        <v>7</v>
      </c>
      <c r="F4" s="24">
        <v>9</v>
      </c>
      <c r="G4" s="24">
        <v>8</v>
      </c>
      <c r="H4" s="24">
        <v>7</v>
      </c>
      <c r="I4" s="24">
        <v>9</v>
      </c>
      <c r="K4" t="s">
        <v>49</v>
      </c>
      <c r="L4" t="s">
        <v>3</v>
      </c>
    </row>
    <row r="5" spans="1:12" x14ac:dyDescent="0.25">
      <c r="A5" s="15" t="s">
        <v>684</v>
      </c>
      <c r="B5" s="15" t="s">
        <v>478</v>
      </c>
      <c r="C5" s="15" t="s">
        <v>212</v>
      </c>
      <c r="D5" s="23">
        <v>10</v>
      </c>
      <c r="E5" s="24">
        <v>7</v>
      </c>
      <c r="F5" s="23">
        <v>11</v>
      </c>
      <c r="G5" s="23">
        <v>13</v>
      </c>
      <c r="H5" s="23">
        <v>14</v>
      </c>
      <c r="I5" s="23">
        <v>12</v>
      </c>
      <c r="K5" t="s">
        <v>51</v>
      </c>
      <c r="L5" t="s">
        <v>4</v>
      </c>
    </row>
    <row r="6" spans="1:12" x14ac:dyDescent="0.25">
      <c r="A6" s="15" t="s">
        <v>685</v>
      </c>
      <c r="B6" s="15" t="s">
        <v>489</v>
      </c>
      <c r="C6" s="15" t="s">
        <v>212</v>
      </c>
      <c r="D6" s="24">
        <v>5</v>
      </c>
      <c r="E6" s="24">
        <v>6</v>
      </c>
      <c r="F6" s="23">
        <v>14</v>
      </c>
      <c r="G6" s="23">
        <v>15</v>
      </c>
      <c r="H6" s="24">
        <v>6</v>
      </c>
      <c r="I6" s="23">
        <v>13</v>
      </c>
      <c r="K6" t="s">
        <v>53</v>
      </c>
      <c r="L6" t="s">
        <v>54</v>
      </c>
    </row>
    <row r="7" spans="1:12" x14ac:dyDescent="0.25">
      <c r="A7" s="15" t="s">
        <v>686</v>
      </c>
      <c r="B7" s="15" t="s">
        <v>211</v>
      </c>
      <c r="C7" s="15" t="s">
        <v>212</v>
      </c>
      <c r="D7" s="24">
        <v>5</v>
      </c>
      <c r="E7" s="24">
        <v>8</v>
      </c>
      <c r="F7" s="24">
        <v>5</v>
      </c>
      <c r="G7" s="24">
        <v>8</v>
      </c>
      <c r="H7" s="24">
        <v>7</v>
      </c>
      <c r="I7" s="24">
        <v>6</v>
      </c>
      <c r="K7" t="s">
        <v>56</v>
      </c>
      <c r="L7" t="s">
        <v>5</v>
      </c>
    </row>
    <row r="8" spans="1:12" x14ac:dyDescent="0.25">
      <c r="A8" s="15" t="s">
        <v>687</v>
      </c>
      <c r="B8" s="15" t="s">
        <v>211</v>
      </c>
      <c r="C8" s="15" t="s">
        <v>212</v>
      </c>
      <c r="D8" s="23">
        <v>15</v>
      </c>
      <c r="E8" s="23">
        <v>14</v>
      </c>
      <c r="F8" s="23">
        <v>21</v>
      </c>
      <c r="G8" s="23">
        <v>18</v>
      </c>
      <c r="H8" s="23">
        <v>15</v>
      </c>
      <c r="I8" s="23">
        <v>16</v>
      </c>
    </row>
    <row r="9" spans="1:12" x14ac:dyDescent="0.25">
      <c r="A9" s="15" t="s">
        <v>688</v>
      </c>
      <c r="B9" s="15" t="s">
        <v>444</v>
      </c>
      <c r="C9" s="15" t="s">
        <v>212</v>
      </c>
      <c r="D9" s="23">
        <v>18</v>
      </c>
      <c r="E9" s="23">
        <v>15</v>
      </c>
      <c r="F9" s="23">
        <v>18</v>
      </c>
      <c r="G9" s="23">
        <v>18</v>
      </c>
      <c r="H9" s="23">
        <v>17</v>
      </c>
      <c r="I9" s="23">
        <v>19</v>
      </c>
      <c r="L9" s="19" t="s">
        <v>58</v>
      </c>
    </row>
    <row r="10" spans="1:12" x14ac:dyDescent="0.25">
      <c r="A10" s="15" t="s">
        <v>689</v>
      </c>
      <c r="B10" s="15" t="s">
        <v>211</v>
      </c>
      <c r="C10" s="15" t="s">
        <v>212</v>
      </c>
      <c r="D10" s="23">
        <v>19</v>
      </c>
      <c r="E10" s="23">
        <v>17</v>
      </c>
      <c r="F10" s="23">
        <v>18</v>
      </c>
      <c r="G10" s="23">
        <v>17</v>
      </c>
      <c r="H10" s="23">
        <v>20</v>
      </c>
      <c r="I10" s="23">
        <v>16</v>
      </c>
      <c r="L10" s="20" t="s">
        <v>59</v>
      </c>
    </row>
    <row r="11" spans="1:12" x14ac:dyDescent="0.25">
      <c r="A11" s="15" t="s">
        <v>690</v>
      </c>
      <c r="B11" s="15" t="s">
        <v>211</v>
      </c>
      <c r="C11" s="15" t="s">
        <v>212</v>
      </c>
      <c r="D11" s="24">
        <v>7</v>
      </c>
      <c r="E11" s="24">
        <v>9</v>
      </c>
      <c r="F11" s="23">
        <v>12</v>
      </c>
      <c r="G11" s="23">
        <v>13</v>
      </c>
      <c r="H11" s="23">
        <v>12</v>
      </c>
      <c r="I11" s="24">
        <v>6</v>
      </c>
      <c r="L11" s="21" t="s">
        <v>60</v>
      </c>
    </row>
    <row r="12" spans="1:12" x14ac:dyDescent="0.25">
      <c r="A12" s="15" t="s">
        <v>691</v>
      </c>
      <c r="B12" s="15" t="s">
        <v>169</v>
      </c>
      <c r="C12" s="15" t="s">
        <v>212</v>
      </c>
      <c r="D12" s="24">
        <v>7</v>
      </c>
      <c r="E12" s="24">
        <v>9</v>
      </c>
      <c r="F12" s="23">
        <v>12</v>
      </c>
      <c r="G12" s="23">
        <v>13</v>
      </c>
      <c r="H12" s="26">
        <v>32</v>
      </c>
      <c r="I12" s="23">
        <v>10</v>
      </c>
    </row>
    <row r="13" spans="1:12" x14ac:dyDescent="0.25">
      <c r="A13" s="15" t="s">
        <v>692</v>
      </c>
      <c r="B13" s="15" t="s">
        <v>211</v>
      </c>
      <c r="C13" s="15" t="s">
        <v>212</v>
      </c>
      <c r="D13" s="24">
        <v>5</v>
      </c>
      <c r="E13" s="24">
        <v>7</v>
      </c>
      <c r="F13" s="23">
        <v>12</v>
      </c>
      <c r="G13" s="23">
        <v>11</v>
      </c>
      <c r="H13" s="24">
        <v>9</v>
      </c>
      <c r="I13" s="23">
        <v>20</v>
      </c>
    </row>
    <row r="14" spans="1:12" x14ac:dyDescent="0.25">
      <c r="A14" s="15" t="s">
        <v>693</v>
      </c>
      <c r="B14" s="15" t="s">
        <v>525</v>
      </c>
      <c r="C14" s="15" t="s">
        <v>212</v>
      </c>
      <c r="D14" s="24">
        <v>8</v>
      </c>
      <c r="E14" s="24">
        <v>9</v>
      </c>
      <c r="F14" s="23">
        <v>14</v>
      </c>
      <c r="G14" s="23">
        <v>13</v>
      </c>
      <c r="H14" s="24">
        <v>7</v>
      </c>
      <c r="I14" s="23">
        <v>12</v>
      </c>
    </row>
    <row r="15" spans="1:12" x14ac:dyDescent="0.25">
      <c r="A15" s="15" t="s">
        <v>694</v>
      </c>
      <c r="B15" s="15" t="s">
        <v>530</v>
      </c>
      <c r="C15" s="15" t="s">
        <v>212</v>
      </c>
      <c r="D15" s="23">
        <v>13</v>
      </c>
      <c r="E15" s="23">
        <v>10</v>
      </c>
      <c r="F15" s="23">
        <v>14</v>
      </c>
      <c r="G15" s="23">
        <v>16</v>
      </c>
      <c r="H15" s="23">
        <v>13</v>
      </c>
      <c r="I15" s="24">
        <v>9</v>
      </c>
    </row>
    <row r="16" spans="1:12" x14ac:dyDescent="0.25">
      <c r="D16" s="11">
        <f>AVERAGE(D2:D15)</f>
        <v>9.5</v>
      </c>
      <c r="E16" s="11">
        <f t="shared" ref="E16:I16" si="0">AVERAGE(E2:E15)</f>
        <v>9.7142857142857135</v>
      </c>
      <c r="F16" s="11">
        <f t="shared" si="0"/>
        <v>12.857142857142858</v>
      </c>
      <c r="G16" s="11">
        <f t="shared" si="0"/>
        <v>13.428571428571429</v>
      </c>
      <c r="H16" s="11">
        <f t="shared" si="0"/>
        <v>13.071428571428571</v>
      </c>
      <c r="I16" s="11">
        <f t="shared" si="0"/>
        <v>12.5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L11"/>
  <sheetViews>
    <sheetView workbookViewId="0">
      <selection activeCell="C1" sqref="A1:C1"/>
    </sheetView>
  </sheetViews>
  <sheetFormatPr defaultRowHeight="15" x14ac:dyDescent="0.25"/>
  <cols>
    <col min="1" max="1" width="12.28515625" customWidth="1"/>
    <col min="2" max="2" width="21.42578125" bestFit="1" customWidth="1"/>
    <col min="3" max="3" width="13.28515625" bestFit="1" customWidth="1"/>
    <col min="6" max="6" width="12" bestFit="1" customWidth="1"/>
    <col min="7" max="7" width="11.42578125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7" t="s">
        <v>695</v>
      </c>
      <c r="B2" s="7" t="s">
        <v>193</v>
      </c>
      <c r="C2" s="7" t="s">
        <v>194</v>
      </c>
      <c r="D2" s="24">
        <v>9</v>
      </c>
      <c r="E2" s="23">
        <v>11</v>
      </c>
      <c r="F2" s="23">
        <v>11</v>
      </c>
      <c r="G2" s="23">
        <v>12</v>
      </c>
      <c r="H2" s="24">
        <v>5</v>
      </c>
      <c r="I2" s="23">
        <v>19</v>
      </c>
      <c r="K2" t="s">
        <v>45</v>
      </c>
      <c r="L2" t="s">
        <v>1</v>
      </c>
    </row>
    <row r="3" spans="1:12" x14ac:dyDescent="0.25">
      <c r="A3" s="7" t="s">
        <v>696</v>
      </c>
      <c r="B3" s="7" t="s">
        <v>328</v>
      </c>
      <c r="C3" s="7" t="s">
        <v>194</v>
      </c>
      <c r="D3" s="24">
        <v>9</v>
      </c>
      <c r="E3" s="24">
        <v>6</v>
      </c>
      <c r="F3" s="24">
        <v>6</v>
      </c>
      <c r="G3" s="24">
        <v>6</v>
      </c>
      <c r="H3" s="24">
        <v>6</v>
      </c>
      <c r="I3" s="24">
        <v>7</v>
      </c>
      <c r="K3" t="s">
        <v>47</v>
      </c>
      <c r="L3" t="s">
        <v>2</v>
      </c>
    </row>
    <row r="4" spans="1:12" x14ac:dyDescent="0.25">
      <c r="A4" s="7" t="s">
        <v>697</v>
      </c>
      <c r="B4" s="7" t="s">
        <v>418</v>
      </c>
      <c r="C4" s="7" t="s">
        <v>194</v>
      </c>
      <c r="D4" s="24">
        <v>5</v>
      </c>
      <c r="E4" s="23">
        <v>13</v>
      </c>
      <c r="F4" s="23">
        <v>20</v>
      </c>
      <c r="G4" s="23">
        <v>20</v>
      </c>
      <c r="H4" s="24">
        <v>9</v>
      </c>
      <c r="I4" s="23">
        <v>20</v>
      </c>
      <c r="K4" t="s">
        <v>49</v>
      </c>
      <c r="L4" t="s">
        <v>3</v>
      </c>
    </row>
    <row r="5" spans="1:12" x14ac:dyDescent="0.25">
      <c r="A5" s="7" t="s">
        <v>698</v>
      </c>
      <c r="B5" s="7" t="s">
        <v>151</v>
      </c>
      <c r="C5" s="7" t="s">
        <v>152</v>
      </c>
      <c r="D5" s="23">
        <v>12</v>
      </c>
      <c r="E5" s="23">
        <v>14</v>
      </c>
      <c r="F5" s="23">
        <v>12</v>
      </c>
      <c r="G5" s="23">
        <v>14</v>
      </c>
      <c r="H5" s="23">
        <v>12</v>
      </c>
      <c r="I5" s="23">
        <v>18</v>
      </c>
      <c r="K5" t="s">
        <v>51</v>
      </c>
      <c r="L5" t="s">
        <v>4</v>
      </c>
    </row>
    <row r="6" spans="1:12" x14ac:dyDescent="0.25">
      <c r="A6" s="2"/>
      <c r="B6" s="2"/>
      <c r="C6" s="2"/>
      <c r="D6" s="2">
        <f>AVERAGE(D2:D5)</f>
        <v>8.75</v>
      </c>
      <c r="E6" s="2">
        <f t="shared" ref="E6:I6" si="0">AVERAGE(E2:E5)</f>
        <v>11</v>
      </c>
      <c r="F6" s="2">
        <f t="shared" si="0"/>
        <v>12.25</v>
      </c>
      <c r="G6" s="2">
        <f t="shared" si="0"/>
        <v>13</v>
      </c>
      <c r="H6" s="2">
        <f t="shared" si="0"/>
        <v>8</v>
      </c>
      <c r="I6" s="2">
        <f t="shared" si="0"/>
        <v>16</v>
      </c>
      <c r="K6" t="s">
        <v>53</v>
      </c>
      <c r="L6" t="s">
        <v>54</v>
      </c>
    </row>
    <row r="7" spans="1:12" x14ac:dyDescent="0.25">
      <c r="K7" t="s">
        <v>56</v>
      </c>
      <c r="L7" t="s">
        <v>5</v>
      </c>
    </row>
    <row r="9" spans="1:12" x14ac:dyDescent="0.25">
      <c r="L9" s="19" t="s">
        <v>58</v>
      </c>
    </row>
    <row r="10" spans="1:12" x14ac:dyDescent="0.25">
      <c r="L10" s="20" t="s">
        <v>59</v>
      </c>
    </row>
    <row r="11" spans="1:12" x14ac:dyDescent="0.25">
      <c r="L11" s="21" t="s">
        <v>60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L11"/>
  <sheetViews>
    <sheetView workbookViewId="0">
      <selection activeCell="A2" sqref="A2:A4"/>
    </sheetView>
  </sheetViews>
  <sheetFormatPr defaultRowHeight="15" x14ac:dyDescent="0.25"/>
  <cols>
    <col min="1" max="1" width="8.28515625" customWidth="1"/>
    <col min="2" max="2" width="13.140625" bestFit="1" customWidth="1"/>
    <col min="3" max="3" width="13.28515625" bestFit="1" customWidth="1"/>
    <col min="6" max="7" width="12" bestFit="1" customWidth="1"/>
    <col min="12" max="12" width="33.42578125" bestFit="1" customWidth="1"/>
  </cols>
  <sheetData>
    <row r="1" spans="1:12" x14ac:dyDescent="0.25">
      <c r="A1" s="13" t="s">
        <v>69</v>
      </c>
      <c r="B1" s="13" t="s">
        <v>70</v>
      </c>
      <c r="C1" s="13" t="s">
        <v>71</v>
      </c>
      <c r="D1" s="14" t="s">
        <v>45</v>
      </c>
      <c r="E1" s="14" t="s">
        <v>47</v>
      </c>
      <c r="F1" s="14" t="s">
        <v>49</v>
      </c>
      <c r="G1" s="14" t="s">
        <v>51</v>
      </c>
      <c r="H1" s="14" t="s">
        <v>53</v>
      </c>
      <c r="I1" s="14" t="s">
        <v>56</v>
      </c>
    </row>
    <row r="2" spans="1:12" x14ac:dyDescent="0.25">
      <c r="A2" s="15" t="s">
        <v>699</v>
      </c>
      <c r="B2" s="15" t="s">
        <v>131</v>
      </c>
      <c r="C2" s="15" t="s">
        <v>132</v>
      </c>
      <c r="D2" s="22">
        <v>10</v>
      </c>
      <c r="E2" s="22">
        <v>13</v>
      </c>
      <c r="F2" s="22">
        <v>13</v>
      </c>
      <c r="G2" s="25">
        <v>9</v>
      </c>
      <c r="H2" s="25">
        <v>7</v>
      </c>
      <c r="I2" s="22">
        <v>12</v>
      </c>
      <c r="K2" t="s">
        <v>45</v>
      </c>
      <c r="L2" t="s">
        <v>1</v>
      </c>
    </row>
    <row r="3" spans="1:12" x14ac:dyDescent="0.25">
      <c r="A3" s="15" t="s">
        <v>700</v>
      </c>
      <c r="B3" s="15" t="s">
        <v>131</v>
      </c>
      <c r="C3" s="15" t="s">
        <v>132</v>
      </c>
      <c r="D3" s="24">
        <v>9</v>
      </c>
      <c r="E3" s="23">
        <v>12</v>
      </c>
      <c r="F3" s="23">
        <v>11</v>
      </c>
      <c r="G3" s="23">
        <v>11</v>
      </c>
      <c r="H3" s="23">
        <v>12</v>
      </c>
      <c r="I3" s="23">
        <v>19</v>
      </c>
      <c r="K3" t="s">
        <v>47</v>
      </c>
      <c r="L3" t="s">
        <v>2</v>
      </c>
    </row>
    <row r="4" spans="1:12" x14ac:dyDescent="0.25">
      <c r="A4" s="15" t="s">
        <v>650</v>
      </c>
      <c r="B4" s="15" t="s">
        <v>295</v>
      </c>
      <c r="C4" s="15" t="s">
        <v>132</v>
      </c>
      <c r="D4" s="23">
        <v>10</v>
      </c>
      <c r="E4" s="23">
        <v>11</v>
      </c>
      <c r="F4" s="23">
        <v>11</v>
      </c>
      <c r="G4" s="23">
        <v>21</v>
      </c>
      <c r="H4" s="23">
        <v>15</v>
      </c>
      <c r="I4" s="23">
        <v>16</v>
      </c>
      <c r="K4" t="s">
        <v>49</v>
      </c>
      <c r="L4" t="s">
        <v>3</v>
      </c>
    </row>
    <row r="5" spans="1:12" x14ac:dyDescent="0.25">
      <c r="A5" s="11"/>
      <c r="B5" s="11"/>
      <c r="C5" s="11"/>
      <c r="D5" s="11">
        <f>AVERAGE(D2:D4)</f>
        <v>9.6666666666666661</v>
      </c>
      <c r="E5" s="11">
        <f t="shared" ref="E5:I5" si="0">AVERAGE(E2:E4)</f>
        <v>12</v>
      </c>
      <c r="F5" s="11">
        <f t="shared" si="0"/>
        <v>11.666666666666666</v>
      </c>
      <c r="G5" s="11">
        <f t="shared" si="0"/>
        <v>13.666666666666666</v>
      </c>
      <c r="H5" s="11">
        <f t="shared" si="0"/>
        <v>11.333333333333334</v>
      </c>
      <c r="I5" s="11">
        <f t="shared" si="0"/>
        <v>15.666666666666666</v>
      </c>
      <c r="K5" t="s">
        <v>51</v>
      </c>
      <c r="L5" t="s">
        <v>4</v>
      </c>
    </row>
    <row r="6" spans="1:12" x14ac:dyDescent="0.25">
      <c r="K6" t="s">
        <v>53</v>
      </c>
      <c r="L6" t="s">
        <v>54</v>
      </c>
    </row>
    <row r="7" spans="1:12" x14ac:dyDescent="0.25">
      <c r="K7" t="s">
        <v>56</v>
      </c>
      <c r="L7" t="s">
        <v>5</v>
      </c>
    </row>
    <row r="9" spans="1:12" x14ac:dyDescent="0.25">
      <c r="L9" s="19" t="s">
        <v>58</v>
      </c>
    </row>
    <row r="10" spans="1:12" x14ac:dyDescent="0.25">
      <c r="L10" s="20" t="s">
        <v>59</v>
      </c>
    </row>
    <row r="11" spans="1:12" x14ac:dyDescent="0.25">
      <c r="L11" s="21" t="s">
        <v>60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K7"/>
  <sheetViews>
    <sheetView workbookViewId="0">
      <selection sqref="A1:K7"/>
    </sheetView>
  </sheetViews>
  <sheetFormatPr defaultRowHeight="15" x14ac:dyDescent="0.25"/>
  <cols>
    <col min="1" max="1" width="12" bestFit="1" customWidth="1"/>
    <col min="2" max="2" width="17" bestFit="1" customWidth="1"/>
    <col min="3" max="11" width="10.5703125" bestFit="1" customWidth="1"/>
  </cols>
  <sheetData>
    <row r="1" spans="1:11" x14ac:dyDescent="0.25">
      <c r="B1" s="30" t="s">
        <v>573</v>
      </c>
      <c r="C1" s="30" t="s">
        <v>574</v>
      </c>
      <c r="D1" s="30" t="s">
        <v>575</v>
      </c>
      <c r="E1" s="30" t="s">
        <v>576</v>
      </c>
      <c r="F1" s="30" t="s">
        <v>371</v>
      </c>
      <c r="G1" s="30" t="s">
        <v>137</v>
      </c>
      <c r="H1" s="30" t="s">
        <v>161</v>
      </c>
      <c r="I1" s="30" t="s">
        <v>212</v>
      </c>
      <c r="J1" s="30" t="s">
        <v>577</v>
      </c>
      <c r="K1" s="30" t="s">
        <v>578</v>
      </c>
    </row>
    <row r="2" spans="1:11" x14ac:dyDescent="0.25">
      <c r="A2" s="14" t="s">
        <v>45</v>
      </c>
      <c r="B2" s="31">
        <v>10.142857142857142</v>
      </c>
      <c r="C2" s="31">
        <v>6.833333333333333</v>
      </c>
      <c r="D2" s="31">
        <v>8.882352941176471</v>
      </c>
      <c r="E2" s="31">
        <v>8.5</v>
      </c>
      <c r="F2" s="31">
        <v>10.090909090909092</v>
      </c>
      <c r="G2" s="31">
        <v>11</v>
      </c>
      <c r="H2" s="31">
        <v>10.666666666666666</v>
      </c>
      <c r="I2" s="31">
        <v>9.5</v>
      </c>
      <c r="J2" s="31">
        <v>8.75</v>
      </c>
      <c r="K2" s="31">
        <v>9.6666666666666661</v>
      </c>
    </row>
    <row r="3" spans="1:11" x14ac:dyDescent="0.25">
      <c r="A3" s="14" t="s">
        <v>47</v>
      </c>
      <c r="B3" s="31">
        <v>11</v>
      </c>
      <c r="C3" s="31">
        <v>7.666666666666667</v>
      </c>
      <c r="D3" s="31">
        <v>10.117647058823529</v>
      </c>
      <c r="E3" s="31">
        <v>9.1666666666666661</v>
      </c>
      <c r="F3" s="31">
        <v>9.6363636363636367</v>
      </c>
      <c r="G3" s="31">
        <v>10.771428571428572</v>
      </c>
      <c r="H3" s="31">
        <v>12.777777777777779</v>
      </c>
      <c r="I3" s="31">
        <v>9.7142857142857135</v>
      </c>
      <c r="J3" s="31">
        <v>11</v>
      </c>
      <c r="K3" s="31">
        <v>12</v>
      </c>
    </row>
    <row r="4" spans="1:11" x14ac:dyDescent="0.25">
      <c r="A4" s="14" t="s">
        <v>49</v>
      </c>
      <c r="B4" s="31">
        <v>18</v>
      </c>
      <c r="C4" s="31">
        <v>8.5</v>
      </c>
      <c r="D4" s="31">
        <v>12.529411764705882</v>
      </c>
      <c r="E4" s="31">
        <v>12.333333333333334</v>
      </c>
      <c r="F4" s="31">
        <v>11.454545454545455</v>
      </c>
      <c r="G4" s="31">
        <v>14.171428571428571</v>
      </c>
      <c r="H4" s="31">
        <v>15.333333333333334</v>
      </c>
      <c r="I4" s="31">
        <v>12.857142857142858</v>
      </c>
      <c r="J4" s="31">
        <v>12.25</v>
      </c>
      <c r="K4" s="31">
        <v>11.666666666666666</v>
      </c>
    </row>
    <row r="5" spans="1:11" x14ac:dyDescent="0.25">
      <c r="A5" s="14" t="s">
        <v>51</v>
      </c>
      <c r="B5" s="31">
        <v>16.428571428571427</v>
      </c>
      <c r="C5" s="31">
        <v>8.5</v>
      </c>
      <c r="D5" s="31">
        <v>12.470588235294118</v>
      </c>
      <c r="E5" s="31">
        <v>13</v>
      </c>
      <c r="F5" s="31">
        <v>12.090909090909092</v>
      </c>
      <c r="G5" s="31">
        <v>14.114285714285714</v>
      </c>
      <c r="H5" s="31">
        <v>14.555555555555555</v>
      </c>
      <c r="I5" s="31">
        <v>13.428571428571429</v>
      </c>
      <c r="J5" s="31">
        <v>13</v>
      </c>
      <c r="K5" s="31">
        <v>13.666666666666666</v>
      </c>
    </row>
    <row r="6" spans="1:11" x14ac:dyDescent="0.25">
      <c r="A6" s="14" t="s">
        <v>53</v>
      </c>
      <c r="B6" s="31">
        <v>9.7142857142857135</v>
      </c>
      <c r="C6" s="31">
        <v>9.1666666666666661</v>
      </c>
      <c r="D6" s="31">
        <v>9.7058823529411757</v>
      </c>
      <c r="E6" s="31">
        <v>12.666666666666666</v>
      </c>
      <c r="F6" s="31">
        <v>11.454545454545455</v>
      </c>
      <c r="G6" s="31">
        <v>13.371428571428572</v>
      </c>
      <c r="H6" s="31">
        <v>10.333333333333334</v>
      </c>
      <c r="I6" s="31">
        <v>13.071428571428571</v>
      </c>
      <c r="J6" s="31">
        <v>8</v>
      </c>
      <c r="K6" s="31">
        <v>11.333333333333334</v>
      </c>
    </row>
    <row r="7" spans="1:11" x14ac:dyDescent="0.25">
      <c r="A7" s="14" t="s">
        <v>56</v>
      </c>
      <c r="B7" s="31">
        <v>16.857142857142858</v>
      </c>
      <c r="C7" s="31">
        <v>13.5</v>
      </c>
      <c r="D7" s="31">
        <v>14.764705882352942</v>
      </c>
      <c r="E7" s="31">
        <v>10.666666666666666</v>
      </c>
      <c r="F7" s="31">
        <v>15.909090909090908</v>
      </c>
      <c r="G7" s="31">
        <v>14.228571428571428</v>
      </c>
      <c r="H7" s="31">
        <v>18.555555555555557</v>
      </c>
      <c r="I7" s="31">
        <v>12.5</v>
      </c>
      <c r="J7" s="31">
        <v>16</v>
      </c>
      <c r="K7" s="31">
        <v>15.666666666666666</v>
      </c>
    </row>
  </sheetData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C2:D11"/>
  <sheetViews>
    <sheetView workbookViewId="0">
      <selection activeCell="O13" sqref="O13"/>
    </sheetView>
  </sheetViews>
  <sheetFormatPr defaultRowHeight="15" x14ac:dyDescent="0.25"/>
  <cols>
    <col min="3" max="3" width="18.7109375" bestFit="1" customWidth="1"/>
  </cols>
  <sheetData>
    <row r="2" spans="3:4" x14ac:dyDescent="0.25">
      <c r="C2" t="s">
        <v>701</v>
      </c>
      <c r="D2">
        <v>7</v>
      </c>
    </row>
    <row r="3" spans="3:4" x14ac:dyDescent="0.25">
      <c r="C3" t="s">
        <v>574</v>
      </c>
      <c r="D3">
        <v>6</v>
      </c>
    </row>
    <row r="4" spans="3:4" x14ac:dyDescent="0.25">
      <c r="C4" t="s">
        <v>405</v>
      </c>
      <c r="D4">
        <v>17</v>
      </c>
    </row>
    <row r="5" spans="3:4" x14ac:dyDescent="0.25">
      <c r="C5" t="s">
        <v>576</v>
      </c>
      <c r="D5">
        <v>6</v>
      </c>
    </row>
    <row r="6" spans="3:4" x14ac:dyDescent="0.25">
      <c r="C6" t="s">
        <v>371</v>
      </c>
      <c r="D6">
        <v>11</v>
      </c>
    </row>
    <row r="7" spans="3:4" x14ac:dyDescent="0.25">
      <c r="C7" t="s">
        <v>137</v>
      </c>
      <c r="D7">
        <v>35</v>
      </c>
    </row>
    <row r="8" spans="3:4" x14ac:dyDescent="0.25">
      <c r="C8" t="s">
        <v>161</v>
      </c>
      <c r="D8">
        <v>9</v>
      </c>
    </row>
    <row r="9" spans="3:4" x14ac:dyDescent="0.25">
      <c r="C9" t="s">
        <v>212</v>
      </c>
      <c r="D9">
        <v>14</v>
      </c>
    </row>
    <row r="10" spans="3:4" x14ac:dyDescent="0.25">
      <c r="C10" t="s">
        <v>194</v>
      </c>
      <c r="D10">
        <v>4</v>
      </c>
    </row>
    <row r="11" spans="3:4" x14ac:dyDescent="0.25">
      <c r="C11" t="s">
        <v>578</v>
      </c>
      <c r="D11">
        <v>3</v>
      </c>
    </row>
  </sheetData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19"/>
  <sheetViews>
    <sheetView workbookViewId="0">
      <selection activeCell="K16" sqref="K16"/>
    </sheetView>
  </sheetViews>
  <sheetFormatPr defaultRowHeight="15" x14ac:dyDescent="0.25"/>
  <cols>
    <col min="11" max="11" width="16.85546875" bestFit="1" customWidth="1"/>
  </cols>
  <sheetData>
    <row r="1" spans="1:13" x14ac:dyDescent="0.25">
      <c r="A1" t="s">
        <v>579</v>
      </c>
      <c r="K1" s="14" t="s">
        <v>45</v>
      </c>
      <c r="L1" s="17">
        <v>9.8482142857142865</v>
      </c>
    </row>
    <row r="2" spans="1:13" x14ac:dyDescent="0.25">
      <c r="K2" s="14" t="s">
        <v>47</v>
      </c>
      <c r="L2" s="17">
        <v>10.392857142857142</v>
      </c>
    </row>
    <row r="3" spans="1:13" x14ac:dyDescent="0.25">
      <c r="A3" t="s">
        <v>580</v>
      </c>
      <c r="K3" s="14" t="s">
        <v>49</v>
      </c>
      <c r="L3" s="17">
        <v>13.285714285714286</v>
      </c>
    </row>
    <row r="4" spans="1:13" x14ac:dyDescent="0.25">
      <c r="K4" s="14" t="s">
        <v>51</v>
      </c>
      <c r="L4" s="17">
        <v>13.348214285714286</v>
      </c>
    </row>
    <row r="5" spans="1:13" x14ac:dyDescent="0.25">
      <c r="A5" t="s">
        <v>581</v>
      </c>
      <c r="K5" s="14" t="s">
        <v>53</v>
      </c>
      <c r="L5" s="17">
        <v>11.607142857142858</v>
      </c>
    </row>
    <row r="6" spans="1:13" x14ac:dyDescent="0.25">
      <c r="K6" s="14" t="s">
        <v>56</v>
      </c>
      <c r="L6" s="18">
        <v>14.642857142857142</v>
      </c>
      <c r="M6" t="s">
        <v>570</v>
      </c>
    </row>
    <row r="7" spans="1:13" x14ac:dyDescent="0.25">
      <c r="A7" t="s">
        <v>582</v>
      </c>
    </row>
    <row r="9" spans="1:13" x14ac:dyDescent="0.25">
      <c r="A9" t="s">
        <v>583</v>
      </c>
      <c r="K9" s="32" t="s">
        <v>589</v>
      </c>
    </row>
    <row r="11" spans="1:13" x14ac:dyDescent="0.25">
      <c r="A11" t="s">
        <v>584</v>
      </c>
      <c r="K11" t="s">
        <v>590</v>
      </c>
      <c r="L11">
        <v>7</v>
      </c>
      <c r="M11" s="18">
        <v>14.642857142857142</v>
      </c>
    </row>
    <row r="12" spans="1:13" x14ac:dyDescent="0.25">
      <c r="K12" t="s">
        <v>592</v>
      </c>
      <c r="L12">
        <v>2</v>
      </c>
      <c r="M12" s="17">
        <v>13.348214285714286</v>
      </c>
    </row>
    <row r="13" spans="1:13" x14ac:dyDescent="0.25">
      <c r="A13" t="s">
        <v>585</v>
      </c>
      <c r="K13" t="s">
        <v>591</v>
      </c>
      <c r="L13">
        <v>1</v>
      </c>
      <c r="M13" s="17">
        <v>13.285714285714286</v>
      </c>
    </row>
    <row r="14" spans="1:13" x14ac:dyDescent="0.25">
      <c r="M14" s="17"/>
    </row>
    <row r="15" spans="1:13" x14ac:dyDescent="0.25">
      <c r="A15" t="s">
        <v>586</v>
      </c>
    </row>
    <row r="17" spans="1:1" x14ac:dyDescent="0.25">
      <c r="A17" t="s">
        <v>587</v>
      </c>
    </row>
    <row r="19" spans="1:1" x14ac:dyDescent="0.25">
      <c r="A19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130</vt:i4>
      </vt:variant>
      <vt:variant>
        <vt:lpstr>Named Ranges</vt:lpstr>
      </vt:variant>
      <vt:variant>
        <vt:i4>112</vt:i4>
      </vt:variant>
    </vt:vector>
  </HeadingPairs>
  <TitlesOfParts>
    <vt:vector size="242" baseType="lpstr">
      <vt:lpstr>Master Excel Konversi Skor</vt:lpstr>
      <vt:lpstr>konversi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Overall Preview</vt:lpstr>
      <vt:lpstr>Prioritas Temuan</vt:lpstr>
      <vt:lpstr>Per Divisi</vt:lpstr>
      <vt:lpstr>Sales &amp; MBusdev</vt:lpstr>
      <vt:lpstr>PPCU PPHU</vt:lpstr>
      <vt:lpstr>Lab</vt:lpstr>
      <vt:lpstr>Agri</vt:lpstr>
      <vt:lpstr>HRGA</vt:lpstr>
      <vt:lpstr>Sampling</vt:lpstr>
      <vt:lpstr>Finance</vt:lpstr>
      <vt:lpstr>Enviro</vt:lpstr>
      <vt:lpstr>Kalibrasi</vt:lpstr>
      <vt:lpstr>QAHSE</vt:lpstr>
      <vt:lpstr>Final Chart</vt:lpstr>
      <vt:lpstr>Sheet1</vt:lpstr>
      <vt:lpstr>Crosscheck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'100'!Print_Area</vt:lpstr>
      <vt:lpstr>'101'!Print_Area</vt:lpstr>
      <vt:lpstr>'102'!Print_Area</vt:lpstr>
      <vt:lpstr>'103'!Print_Area</vt:lpstr>
      <vt:lpstr>'104'!Print_Area</vt:lpstr>
      <vt:lpstr>'105'!Print_Area</vt:lpstr>
      <vt:lpstr>'106'!Print_Area</vt:lpstr>
      <vt:lpstr>'107'!Print_Area</vt:lpstr>
      <vt:lpstr>'108'!Print_Area</vt:lpstr>
      <vt:lpstr>'109'!Print_Area</vt:lpstr>
      <vt:lpstr>'11'!Print_Area</vt:lpstr>
      <vt:lpstr>'110'!Print_Area</vt:lpstr>
      <vt:lpstr>'111'!Print_Area</vt:lpstr>
      <vt:lpstr>'112'!Print_Area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'50'!Print_Area</vt:lpstr>
      <vt:lpstr>'51'!Print_Area</vt:lpstr>
      <vt:lpstr>'52'!Print_Area</vt:lpstr>
      <vt:lpstr>'53'!Print_Area</vt:lpstr>
      <vt:lpstr>'54'!Print_Area</vt:lpstr>
      <vt:lpstr>'55'!Print_Area</vt:lpstr>
      <vt:lpstr>'56'!Print_Area</vt:lpstr>
      <vt:lpstr>'57'!Print_Area</vt:lpstr>
      <vt:lpstr>'58'!Print_Area</vt:lpstr>
      <vt:lpstr>'59'!Print_Area</vt:lpstr>
      <vt:lpstr>'60'!Print_Area</vt:lpstr>
      <vt:lpstr>'61'!Print_Area</vt:lpstr>
      <vt:lpstr>'62'!Print_Area</vt:lpstr>
      <vt:lpstr>'63'!Print_Area</vt:lpstr>
      <vt:lpstr>'64'!Print_Area</vt:lpstr>
      <vt:lpstr>'65'!Print_Area</vt:lpstr>
      <vt:lpstr>'66'!Print_Area</vt:lpstr>
      <vt:lpstr>'67'!Print_Area</vt:lpstr>
      <vt:lpstr>'68'!Print_Area</vt:lpstr>
      <vt:lpstr>'69'!Print_Area</vt:lpstr>
      <vt:lpstr>'70'!Print_Area</vt:lpstr>
      <vt:lpstr>'71'!Print_Area</vt:lpstr>
      <vt:lpstr>'72'!Print_Area</vt:lpstr>
      <vt:lpstr>'73'!Print_Area</vt:lpstr>
      <vt:lpstr>'74'!Print_Area</vt:lpstr>
      <vt:lpstr>'75'!Print_Area</vt:lpstr>
      <vt:lpstr>'76'!Print_Area</vt:lpstr>
      <vt:lpstr>'77'!Print_Area</vt:lpstr>
      <vt:lpstr>'78'!Print_Area</vt:lpstr>
      <vt:lpstr>'79'!Print_Area</vt:lpstr>
      <vt:lpstr>'80'!Print_Area</vt:lpstr>
      <vt:lpstr>'81'!Print_Area</vt:lpstr>
      <vt:lpstr>'82'!Print_Area</vt:lpstr>
      <vt:lpstr>'83'!Print_Area</vt:lpstr>
      <vt:lpstr>'84'!Print_Area</vt:lpstr>
      <vt:lpstr>'85'!Print_Area</vt:lpstr>
      <vt:lpstr>'86'!Print_Area</vt:lpstr>
      <vt:lpstr>'87'!Print_Area</vt:lpstr>
      <vt:lpstr>'88'!Print_Area</vt:lpstr>
      <vt:lpstr>'89'!Print_Area</vt:lpstr>
      <vt:lpstr>'90'!Print_Area</vt:lpstr>
      <vt:lpstr>'91'!Print_Area</vt:lpstr>
      <vt:lpstr>'92'!Print_Area</vt:lpstr>
      <vt:lpstr>'93'!Print_Area</vt:lpstr>
      <vt:lpstr>'94'!Print_Area</vt:lpstr>
      <vt:lpstr>'95'!Print_Area</vt:lpstr>
      <vt:lpstr>'96'!Print_Area</vt:lpstr>
      <vt:lpstr>'97'!Print_Area</vt:lpstr>
      <vt:lpstr>'98'!Print_Area</vt:lpstr>
      <vt:lpstr>'99'!Print_Area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Aaslab</dc:creator>
  <cp:lastModifiedBy>Tulus Hastuti Meifera</cp:lastModifiedBy>
  <cp:lastPrinted>2022-06-23T14:25:44Z</cp:lastPrinted>
  <dcterms:created xsi:type="dcterms:W3CDTF">2022-01-23T08:15:41Z</dcterms:created>
  <dcterms:modified xsi:type="dcterms:W3CDTF">2024-06-23T19:20:14Z</dcterms:modified>
</cp:coreProperties>
</file>